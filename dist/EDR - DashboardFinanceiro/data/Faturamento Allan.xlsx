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GERENCIAL\Centros de Custo\Orçamento 2026\Planilhas - Faturamento Miguel-Bruno\01. Faturamento\"/>
    </mc:Choice>
  </mc:AlternateContent>
  <xr:revisionPtr revIDLastSave="0" documentId="8_{DB534B9E-0267-4063-AB27-DB81641D19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turamento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7" i="1" l="1"/>
  <c r="P6" i="1"/>
  <c r="O6" i="1"/>
  <c r="N6" i="1"/>
  <c r="L6" i="1"/>
  <c r="O4" i="1"/>
  <c r="P4" i="1"/>
  <c r="N4" i="1"/>
  <c r="L4" i="1"/>
  <c r="H4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Lopes</author>
  </authors>
  <commentList>
    <comment ref="Q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Comparação entre NOV/20 e DEZ/20.</t>
        </r>
      </text>
    </comment>
    <comment ref="Q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Carteira descontinuada.</t>
        </r>
      </text>
    </comment>
    <comment ref="Q2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Comparação entre JUN/21 e JUL/21.</t>
        </r>
      </text>
    </comment>
    <comment ref="B2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B3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Carteira descontinuada.</t>
        </r>
      </text>
    </comment>
    <comment ref="B4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Carteira descontinuada.</t>
        </r>
      </text>
    </comment>
    <comment ref="B4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H5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Valor referente a honorários do setor Trabalhista.</t>
        </r>
      </text>
    </comment>
    <comment ref="I5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Valor referente a honorários do setor Trabalhista.</t>
        </r>
      </text>
    </comment>
    <comment ref="Q5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Comparação entre MÊS/2022 e MÊS/2022.</t>
        </r>
      </text>
    </comment>
    <comment ref="B5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B7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Q84" authorId="0" shapeId="0" xr:uid="{33BA4BDA-5B3D-4B5B-8C50-3E84E9D8D2AA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Comparação entre MÊS/2023 e MÊS/2023.</t>
        </r>
      </text>
    </comment>
    <comment ref="B85" authorId="0" shapeId="0" xr:uid="{1587734A-46AA-49B3-9ED6-3B93C0C9663A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B101" authorId="0" shapeId="0" xr:uid="{BD9F80F8-1280-4E9F-80BA-F4466A82065C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Q112" authorId="0" shapeId="0" xr:uid="{3ECDCD83-3D18-4990-A3C7-238395063E65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Comparação entre MÊS/2024 e MÊS/2024.</t>
        </r>
      </text>
    </comment>
    <comment ref="B113" authorId="0" shapeId="0" xr:uid="{DC8AAB5D-CADE-4F48-88B9-A9E0E8A22752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B128" authorId="0" shapeId="0" xr:uid="{6820C857-BA29-4961-A3DA-4F8FCFD24627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D137" authorId="0" shapeId="0" xr:uid="{602ABE66-FE09-4B0D-BACE-8D9E7FB47EB9}">
      <text>
        <r>
          <rPr>
            <b/>
            <sz val="9"/>
            <color indexed="81"/>
            <rFont val="Segoe UI"/>
            <family val="2"/>
          </rPr>
          <t>Allan Lopes:</t>
        </r>
        <r>
          <rPr>
            <sz val="9"/>
            <color indexed="81"/>
            <rFont val="Segoe UI"/>
            <family val="2"/>
          </rPr>
          <t xml:space="preserve">
XS4 Capitalização.</t>
        </r>
      </text>
    </comment>
    <comment ref="E137" authorId="0" shapeId="0" xr:uid="{2DCAC74E-8887-4709-B9AB-898B8F85B745}">
      <text>
        <r>
          <rPr>
            <b/>
            <sz val="9"/>
            <color indexed="81"/>
            <rFont val="Segoe UI"/>
            <family val="2"/>
          </rPr>
          <t>Allan Lopes:</t>
        </r>
        <r>
          <rPr>
            <sz val="9"/>
            <color indexed="81"/>
            <rFont val="Segoe UI"/>
            <family val="2"/>
          </rPr>
          <t xml:space="preserve">
XS4 Capitalização.</t>
        </r>
      </text>
    </comment>
    <comment ref="G137" authorId="0" shapeId="0" xr:uid="{EBB8B8F1-5DF5-4B8C-951C-57EDB25FDB81}">
      <text>
        <r>
          <rPr>
            <b/>
            <sz val="9"/>
            <color indexed="81"/>
            <rFont val="Segoe UI"/>
            <family val="2"/>
          </rPr>
          <t>Allan Lopes:</t>
        </r>
        <r>
          <rPr>
            <sz val="9"/>
            <color indexed="81"/>
            <rFont val="Segoe UI"/>
            <family val="2"/>
          </rPr>
          <t xml:space="preserve">
XS4 Capitalização.</t>
        </r>
      </text>
    </comment>
    <comment ref="H137" authorId="0" shapeId="0" xr:uid="{D63AEE80-86F3-4056-A0E9-7066B3AC47A6}">
      <text>
        <r>
          <rPr>
            <b/>
            <sz val="9"/>
            <color indexed="81"/>
            <rFont val="Segoe UI"/>
            <family val="2"/>
          </rPr>
          <t>Allan Lopes:</t>
        </r>
        <r>
          <rPr>
            <sz val="9"/>
            <color indexed="81"/>
            <rFont val="Segoe UI"/>
            <family val="2"/>
          </rPr>
          <t xml:space="preserve">
XS4 Capitalização.</t>
        </r>
      </text>
    </comment>
    <comment ref="J137" authorId="0" shapeId="0" xr:uid="{5E59E3E7-4797-4233-BEE4-D4FED90A2A8B}">
      <text>
        <r>
          <rPr>
            <b/>
            <sz val="9"/>
            <color indexed="81"/>
            <rFont val="Segoe UI"/>
            <family val="2"/>
          </rPr>
          <t>Allan Lopes:</t>
        </r>
        <r>
          <rPr>
            <sz val="9"/>
            <color indexed="81"/>
            <rFont val="Segoe UI"/>
            <family val="2"/>
          </rPr>
          <t xml:space="preserve">
XS4 Capitalização.</t>
        </r>
      </text>
    </comment>
    <comment ref="M137" authorId="0" shapeId="0" xr:uid="{E12AFC48-9FB6-4676-8C2C-E0FC7903F2C1}">
      <text>
        <r>
          <rPr>
            <b/>
            <sz val="9"/>
            <color indexed="81"/>
            <rFont val="Segoe UI"/>
            <family val="2"/>
          </rPr>
          <t>Allan Lopes:</t>
        </r>
        <r>
          <rPr>
            <sz val="9"/>
            <color indexed="81"/>
            <rFont val="Segoe UI"/>
            <family val="2"/>
          </rPr>
          <t xml:space="preserve">
XS4 Capitalização.</t>
        </r>
      </text>
    </comment>
    <comment ref="Q141" authorId="0" shapeId="0" xr:uid="{7176C525-3C0F-4F78-92A3-FB348A8A228E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Comparação entre MÊS/2024 e MÊS/2024.</t>
        </r>
      </text>
    </comment>
    <comment ref="B142" authorId="0" shapeId="0" xr:uid="{62A34C9F-7C78-43E9-8FFE-3B985AE527A0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Não entra no somatório.</t>
        </r>
      </text>
    </comment>
    <comment ref="I166" authorId="0" shapeId="0" xr:uid="{04843859-FABE-46E1-B110-3D8D8DAC9D73}">
      <text>
        <r>
          <rPr>
            <b/>
            <sz val="9"/>
            <color indexed="81"/>
            <rFont val="Segoe UI"/>
            <family val="2"/>
          </rPr>
          <t>Allan Lopes:</t>
        </r>
        <r>
          <rPr>
            <sz val="9"/>
            <color indexed="81"/>
            <rFont val="Segoe UI"/>
            <family val="2"/>
          </rPr>
          <t xml:space="preserve">
Caixa Capitalização.</t>
        </r>
      </text>
    </comment>
    <comment ref="Q170" authorId="0" shapeId="0" xr:uid="{D0EA1F26-9575-4527-9EF3-AAD37918C3EC}">
      <text>
        <r>
          <rPr>
            <b/>
            <sz val="9"/>
            <color indexed="81"/>
            <rFont val="Tahoma"/>
            <family val="2"/>
          </rPr>
          <t>Allan Lopes:</t>
        </r>
        <r>
          <rPr>
            <sz val="9"/>
            <color indexed="81"/>
            <rFont val="Tahoma"/>
            <family val="2"/>
          </rPr>
          <t xml:space="preserve">
Comparação entre MÊS/2026 e MÊS/2026.</t>
        </r>
      </text>
    </comment>
  </commentList>
</comments>
</file>

<file path=xl/sharedStrings.xml><?xml version="1.0" encoding="utf-8"?>
<sst xmlns="http://schemas.openxmlformats.org/spreadsheetml/2006/main" count="374" uniqueCount="70">
  <si>
    <t>ITAÚ MASSIFICADO</t>
  </si>
  <si>
    <t>ITAÚ PLANOS ECONÔMICOS</t>
  </si>
  <si>
    <t>ITAÚ ITAUCRED</t>
  </si>
  <si>
    <t>BRADESCO INDENIZATÓRIA</t>
  </si>
  <si>
    <t>SANTANDER</t>
  </si>
  <si>
    <t>BV</t>
  </si>
  <si>
    <t>MERCADO LIVRE</t>
  </si>
  <si>
    <t>MADEIRAMADEIRA</t>
  </si>
  <si>
    <t>OLÉ</t>
  </si>
  <si>
    <t>AMERICANAS</t>
  </si>
  <si>
    <t>BS2</t>
  </si>
  <si>
    <t>UOL</t>
  </si>
  <si>
    <t>CASA E VIDEO</t>
  </si>
  <si>
    <t>DAYCOVAL</t>
  </si>
  <si>
    <t>BRK</t>
  </si>
  <si>
    <t>LEADER</t>
  </si>
  <si>
    <t>NATURGY</t>
  </si>
  <si>
    <t>CLARO NXT</t>
  </si>
  <si>
    <t>ENEL</t>
  </si>
  <si>
    <t>CASOS ESTRATÉGICOS</t>
  </si>
  <si>
    <t>CÉLULA ESPECIAL</t>
  </si>
  <si>
    <t>Carteiras</t>
  </si>
  <si>
    <t>Total Geral</t>
  </si>
  <si>
    <t>Status</t>
  </si>
  <si>
    <t>Redução</t>
  </si>
  <si>
    <t>Aumento</t>
  </si>
  <si>
    <t>Sem variação</t>
  </si>
  <si>
    <t>total/20</t>
  </si>
  <si>
    <t>média/20</t>
  </si>
  <si>
    <t>total/21</t>
  </si>
  <si>
    <t>FATURAMENTO GONDIM 2020</t>
  </si>
  <si>
    <t>FATURAMENTO GONDIM 2021</t>
  </si>
  <si>
    <t>média/21</t>
  </si>
  <si>
    <t>ITAÚ TOTAL</t>
  </si>
  <si>
    <t>ENEL RJ</t>
  </si>
  <si>
    <t>ENEL SP</t>
  </si>
  <si>
    <t>OUTRAS RECEITAS</t>
  </si>
  <si>
    <t>ENEL TOTAL</t>
  </si>
  <si>
    <t>FATURAMENTO GONDIM 2022</t>
  </si>
  <si>
    <t>total/22</t>
  </si>
  <si>
    <t>média/22</t>
  </si>
  <si>
    <t>FATURAMENTO GONDIM 2023</t>
  </si>
  <si>
    <t>total/23</t>
  </si>
  <si>
    <t>média/23</t>
  </si>
  <si>
    <t>INTERCOMPANY</t>
  </si>
  <si>
    <t>IMOBILIÁRIO</t>
  </si>
  <si>
    <t>VIVO</t>
  </si>
  <si>
    <t>total/24</t>
  </si>
  <si>
    <t>média/24</t>
  </si>
  <si>
    <t>FATURAMENTO GONDIM 2024</t>
  </si>
  <si>
    <t>SANEAMENTO</t>
  </si>
  <si>
    <t>MRS</t>
  </si>
  <si>
    <t>VALOR LEGAL</t>
  </si>
  <si>
    <t>FATURAMENTO GONDIM 2025</t>
  </si>
  <si>
    <t>total/25</t>
  </si>
  <si>
    <t>média/25</t>
  </si>
  <si>
    <t>BANCO PAN</t>
  </si>
  <si>
    <t>MRS LOGÍSTICA</t>
  </si>
  <si>
    <t>XS4</t>
  </si>
  <si>
    <t>QUINTO ANDAR</t>
  </si>
  <si>
    <t>NIO</t>
  </si>
  <si>
    <t>RECUPERA</t>
  </si>
  <si>
    <t>RESOLUÇÃO DE DISPUTAS</t>
  </si>
  <si>
    <t>-</t>
  </si>
  <si>
    <t>CLARO</t>
  </si>
  <si>
    <t>VERO</t>
  </si>
  <si>
    <t>CRIMINAL</t>
  </si>
  <si>
    <t>total/26</t>
  </si>
  <si>
    <t>média/26</t>
  </si>
  <si>
    <t>FATURAMENTO GONDIM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</si>
</sst>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.5"/>
      <color theme="1"/>
      <name val="Arial"/>
      <family val="2"/>
    </font>
    <font>
      <b/>
      <sz val="10"/>
      <color theme="1"/>
      <name val="Arial"/>
      <family val="2"/>
    </font>
    <font>
      <sz val="10"/>
      <color theme="9" tint="-0.249977111117893"/>
      <name val="Arial"/>
      <family val="2"/>
    </font>
    <font>
      <b/>
      <sz val="10"/>
      <color rgb="FF7030A0"/>
      <name val="Arial"/>
      <family val="2"/>
    </font>
    <font>
      <b/>
      <sz val="10"/>
      <color rgb="FF0070C0"/>
      <name val="Arial"/>
      <family val="2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9" tint="-0.249977111117893"/>
      <name val="Arial"/>
      <family val="2"/>
    </font>
    <font>
      <sz val="10"/>
      <color rgb="FF0070C0"/>
      <name val="Arial"/>
      <family val="2"/>
    </font>
    <font>
      <sz val="10"/>
      <color rgb="FF00B050"/>
      <name val="Arial"/>
      <family val="2"/>
    </font>
    <font>
      <sz val="10"/>
      <color theme="5" tint="-0.24997711111789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C4BD97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4" fontId="0" fillId="0" borderId="0" xfId="0" applyNumberFormat="1"/>
    <xf numFmtId="17" fontId="4" fillId="4" borderId="1" xfId="0" applyNumberFormat="1" applyFont="1" applyFill="1" applyBorder="1" applyAlignment="1">
      <alignment horizontal="center"/>
    </xf>
    <xf numFmtId="4" fontId="5" fillId="7" borderId="11" xfId="0" applyNumberFormat="1" applyFont="1" applyFill="1" applyBorder="1" applyAlignment="1">
      <alignment horizontal="center"/>
    </xf>
    <xf numFmtId="4" fontId="0" fillId="5" borderId="3" xfId="0" applyNumberFormat="1" applyFill="1" applyBorder="1" applyAlignment="1">
      <alignment horizontal="center"/>
    </xf>
    <xf numFmtId="4" fontId="5" fillId="7" borderId="12" xfId="0" applyNumberFormat="1" applyFont="1" applyFill="1" applyBorder="1" applyAlignment="1">
      <alignment horizontal="center"/>
    </xf>
    <xf numFmtId="4" fontId="0" fillId="8" borderId="4" xfId="0" applyNumberForma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17" fontId="4" fillId="4" borderId="4" xfId="0" applyNumberFormat="1" applyFont="1" applyFill="1" applyBorder="1" applyAlignment="1">
      <alignment horizontal="center"/>
    </xf>
    <xf numFmtId="17" fontId="7" fillId="4" borderId="4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right"/>
    </xf>
    <xf numFmtId="4" fontId="11" fillId="5" borderId="3" xfId="0" applyNumberFormat="1" applyFont="1" applyFill="1" applyBorder="1" applyAlignment="1">
      <alignment horizontal="center"/>
    </xf>
    <xf numFmtId="4" fontId="12" fillId="5" borderId="3" xfId="0" applyNumberFormat="1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right"/>
    </xf>
    <xf numFmtId="0" fontId="4" fillId="8" borderId="4" xfId="0" applyFont="1" applyFill="1" applyBorder="1" applyAlignment="1">
      <alignment horizontal="right"/>
    </xf>
    <xf numFmtId="4" fontId="11" fillId="8" borderId="3" xfId="0" applyNumberFormat="1" applyFont="1" applyFill="1" applyBorder="1" applyAlignment="1">
      <alignment horizontal="center"/>
    </xf>
    <xf numFmtId="4" fontId="12" fillId="8" borderId="3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4" fontId="7" fillId="6" borderId="1" xfId="0" applyNumberFormat="1" applyFont="1" applyFill="1" applyBorder="1" applyAlignment="1">
      <alignment horizontal="center"/>
    </xf>
    <xf numFmtId="4" fontId="8" fillId="6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7" fontId="7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right"/>
    </xf>
    <xf numFmtId="4" fontId="0" fillId="7" borderId="3" xfId="0" applyNumberFormat="1" applyFill="1" applyBorder="1" applyAlignment="1">
      <alignment horizontal="center"/>
    </xf>
    <xf numFmtId="4" fontId="11" fillId="7" borderId="3" xfId="0" applyNumberFormat="1" applyFont="1" applyFill="1" applyBorder="1" applyAlignment="1">
      <alignment horizontal="center"/>
    </xf>
    <xf numFmtId="4" fontId="12" fillId="7" borderId="3" xfId="0" applyNumberFormat="1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0" fontId="4" fillId="5" borderId="2" xfId="0" applyFont="1" applyFill="1" applyBorder="1" applyAlignment="1">
      <alignment horizontal="right"/>
    </xf>
    <xf numFmtId="4" fontId="0" fillId="5" borderId="2" xfId="0" applyNumberFormat="1" applyFill="1" applyBorder="1" applyAlignment="1">
      <alignment horizontal="center"/>
    </xf>
    <xf numFmtId="4" fontId="0" fillId="5" borderId="5" xfId="0" applyNumberFormat="1" applyFill="1" applyBorder="1" applyAlignment="1">
      <alignment horizontal="center"/>
    </xf>
    <xf numFmtId="4" fontId="11" fillId="5" borderId="2" xfId="0" applyNumberFormat="1" applyFont="1" applyFill="1" applyBorder="1" applyAlignment="1">
      <alignment horizontal="center"/>
    </xf>
    <xf numFmtId="4" fontId="12" fillId="5" borderId="2" xfId="0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4" fontId="0" fillId="5" borderId="6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4" fontId="0" fillId="7" borderId="6" xfId="0" applyNumberFormat="1" applyFill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4" fontId="0" fillId="5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4" fontId="0" fillId="5" borderId="7" xfId="0" applyNumberFormat="1" applyFill="1" applyBorder="1" applyAlignment="1">
      <alignment horizontal="center"/>
    </xf>
    <xf numFmtId="4" fontId="11" fillId="5" borderId="4" xfId="0" applyNumberFormat="1" applyFont="1" applyFill="1" applyBorder="1" applyAlignment="1">
      <alignment horizontal="center"/>
    </xf>
    <xf numFmtId="4" fontId="12" fillId="5" borderId="4" xfId="0" applyNumberFormat="1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4" fontId="10" fillId="6" borderId="1" xfId="0" applyNumberFormat="1" applyFont="1" applyFill="1" applyBorder="1" applyAlignment="1">
      <alignment horizontal="center"/>
    </xf>
    <xf numFmtId="0" fontId="4" fillId="8" borderId="3" xfId="0" applyFont="1" applyFill="1" applyBorder="1" applyAlignment="1">
      <alignment horizontal="right"/>
    </xf>
    <xf numFmtId="4" fontId="0" fillId="8" borderId="3" xfId="0" applyNumberFormat="1" applyFill="1" applyBorder="1" applyAlignment="1">
      <alignment horizontal="center"/>
    </xf>
    <xf numFmtId="4" fontId="0" fillId="9" borderId="3" xfId="0" applyNumberFormat="1" applyFill="1" applyBorder="1" applyAlignment="1">
      <alignment horizontal="center"/>
    </xf>
    <xf numFmtId="4" fontId="11" fillId="9" borderId="3" xfId="0" applyNumberFormat="1" applyFont="1" applyFill="1" applyBorder="1" applyAlignment="1">
      <alignment horizontal="center"/>
    </xf>
    <xf numFmtId="4" fontId="12" fillId="9" borderId="3" xfId="0" applyNumberFormat="1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4" fontId="0" fillId="10" borderId="3" xfId="0" applyNumberFormat="1" applyFill="1" applyBorder="1" applyAlignment="1">
      <alignment horizontal="center"/>
    </xf>
    <xf numFmtId="4" fontId="0" fillId="9" borderId="4" xfId="0" applyNumberForma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6DDE8"/>
      <color rgb="FFC4BD97"/>
      <color rgb="FFB1A0C7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94"/>
  <sheetViews>
    <sheetView tabSelected="1" topLeftCell="A148" zoomScale="55" zoomScaleNormal="55" workbookViewId="0">
      <selection activeCell="Q196" sqref="Q196"/>
    </sheetView>
  </sheetViews>
  <sheetFormatPr defaultRowHeight="13.35" customHeight="1" x14ac:dyDescent="0.2"/>
  <cols>
    <col min="1" max="1" width="2.7109375" customWidth="1"/>
    <col min="2" max="2" width="38" customWidth="1"/>
    <col min="3" max="17" width="19.7109375" customWidth="1"/>
    <col min="18" max="18" width="18" customWidth="1"/>
    <col min="19" max="19" width="12.7109375" bestFit="1" customWidth="1"/>
  </cols>
  <sheetData>
    <row r="1" spans="2:17" ht="13.35" customHeight="1" thickBot="1" x14ac:dyDescent="0.25"/>
    <row r="2" spans="2:17" ht="13.5" thickBot="1" x14ac:dyDescent="0.25">
      <c r="B2" s="67" t="s">
        <v>30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spans="2:17" ht="13.5" thickBot="1" x14ac:dyDescent="0.25">
      <c r="B3" s="28" t="s">
        <v>21</v>
      </c>
      <c r="C3" s="3">
        <v>43831</v>
      </c>
      <c r="D3" s="3">
        <v>43862</v>
      </c>
      <c r="E3" s="3">
        <v>43891</v>
      </c>
      <c r="F3" s="3">
        <v>43922</v>
      </c>
      <c r="G3" s="3">
        <v>43952</v>
      </c>
      <c r="H3" s="3">
        <v>43983</v>
      </c>
      <c r="I3" s="3">
        <v>44013</v>
      </c>
      <c r="J3" s="3">
        <v>44044</v>
      </c>
      <c r="K3" s="3">
        <v>44075</v>
      </c>
      <c r="L3" s="3">
        <v>44105</v>
      </c>
      <c r="M3" s="3">
        <v>44136</v>
      </c>
      <c r="N3" s="3">
        <v>44166</v>
      </c>
      <c r="O3" s="29" t="s">
        <v>27</v>
      </c>
      <c r="P3" s="30" t="s">
        <v>28</v>
      </c>
      <c r="Q3" s="13" t="s">
        <v>23</v>
      </c>
    </row>
    <row r="4" spans="2:17" ht="13.35" customHeight="1" x14ac:dyDescent="0.2">
      <c r="B4" s="37" t="s">
        <v>0</v>
      </c>
      <c r="C4" s="38">
        <v>253517.25</v>
      </c>
      <c r="D4" s="38">
        <v>232035.3</v>
      </c>
      <c r="E4" s="38">
        <v>595837</v>
      </c>
      <c r="F4" s="38">
        <f>188513+2866.13</f>
        <v>191379.13</v>
      </c>
      <c r="G4" s="39">
        <v>202275</v>
      </c>
      <c r="H4" s="38">
        <f>201673.35+1789.62</f>
        <v>203462.97</v>
      </c>
      <c r="I4" s="38">
        <v>167054</v>
      </c>
      <c r="J4" s="38">
        <v>205141</v>
      </c>
      <c r="K4" s="38">
        <v>215790</v>
      </c>
      <c r="L4" s="38">
        <f>174644+821.65</f>
        <v>175465.65</v>
      </c>
      <c r="M4" s="39">
        <v>228359</v>
      </c>
      <c r="N4" s="38">
        <f>323555.03+5083.9</f>
        <v>328638.93000000005</v>
      </c>
      <c r="O4" s="40">
        <f>2988393.93+10561.3</f>
        <v>2998955.23</v>
      </c>
      <c r="P4" s="41">
        <f>249032.83+880.11</f>
        <v>249912.93999999997</v>
      </c>
      <c r="Q4" s="42" t="s">
        <v>25</v>
      </c>
    </row>
    <row r="5" spans="2:17" ht="13.35" customHeight="1" x14ac:dyDescent="0.2">
      <c r="B5" s="15" t="s">
        <v>1</v>
      </c>
      <c r="C5" s="36">
        <v>0</v>
      </c>
      <c r="D5" s="36">
        <v>0</v>
      </c>
      <c r="E5" s="5">
        <v>1500</v>
      </c>
      <c r="F5" s="36">
        <v>0</v>
      </c>
      <c r="G5" s="43">
        <v>0</v>
      </c>
      <c r="H5" s="36">
        <v>0</v>
      </c>
      <c r="I5" s="44">
        <v>55</v>
      </c>
      <c r="J5" s="36">
        <v>0</v>
      </c>
      <c r="K5" s="36">
        <v>0</v>
      </c>
      <c r="L5" s="36">
        <v>0</v>
      </c>
      <c r="M5" s="43">
        <v>0</v>
      </c>
      <c r="N5" s="36">
        <v>0</v>
      </c>
      <c r="O5" s="16">
        <v>1555</v>
      </c>
      <c r="P5" s="45">
        <v>129.58000000000001</v>
      </c>
      <c r="Q5" s="18" t="s">
        <v>26</v>
      </c>
    </row>
    <row r="6" spans="2:17" ht="13.35" customHeight="1" x14ac:dyDescent="0.2">
      <c r="B6" s="15" t="s">
        <v>2</v>
      </c>
      <c r="C6" s="5">
        <v>44348.5</v>
      </c>
      <c r="D6" s="5">
        <v>17163</v>
      </c>
      <c r="E6" s="5">
        <v>18228</v>
      </c>
      <c r="F6" s="5">
        <v>100652</v>
      </c>
      <c r="G6" s="46">
        <v>22957</v>
      </c>
      <c r="H6" s="5">
        <v>35478</v>
      </c>
      <c r="I6" s="5">
        <v>82578.5</v>
      </c>
      <c r="J6" s="5">
        <v>119310</v>
      </c>
      <c r="K6" s="5">
        <v>66767</v>
      </c>
      <c r="L6" s="5">
        <f>114499.5+552</f>
        <v>115051.5</v>
      </c>
      <c r="M6" s="46">
        <v>52547</v>
      </c>
      <c r="N6" s="5">
        <f>102408.18+5226.92</f>
        <v>107635.09999999999</v>
      </c>
      <c r="O6" s="16">
        <f>776936.68+5778.92</f>
        <v>782715.60000000009</v>
      </c>
      <c r="P6" s="17">
        <f>64744.72+481.58</f>
        <v>65226.3</v>
      </c>
      <c r="Q6" s="18" t="s">
        <v>25</v>
      </c>
    </row>
    <row r="7" spans="2:17" ht="13.35" customHeight="1" x14ac:dyDescent="0.2">
      <c r="B7" s="15" t="s">
        <v>3</v>
      </c>
      <c r="C7" s="5">
        <v>77674.559999999998</v>
      </c>
      <c r="D7" s="5">
        <v>86646.76</v>
      </c>
      <c r="E7" s="5">
        <v>48696.3</v>
      </c>
      <c r="F7" s="5">
        <v>69649.42</v>
      </c>
      <c r="G7" s="46">
        <v>73567.759999999995</v>
      </c>
      <c r="H7" s="5">
        <v>53888.99</v>
      </c>
      <c r="I7" s="5">
        <v>76771.44</v>
      </c>
      <c r="J7" s="5">
        <v>74427.34</v>
      </c>
      <c r="K7" s="5">
        <v>66645.149999999994</v>
      </c>
      <c r="L7" s="5">
        <v>68604.850000000006</v>
      </c>
      <c r="M7" s="46">
        <v>61913.57</v>
      </c>
      <c r="N7" s="5">
        <v>96642.93</v>
      </c>
      <c r="O7" s="16">
        <v>855129.07</v>
      </c>
      <c r="P7" s="17">
        <v>71260.759999999995</v>
      </c>
      <c r="Q7" s="18" t="s">
        <v>25</v>
      </c>
    </row>
    <row r="8" spans="2:17" ht="13.35" customHeight="1" x14ac:dyDescent="0.2">
      <c r="B8" s="15" t="s">
        <v>4</v>
      </c>
      <c r="C8" s="5">
        <v>384459.24</v>
      </c>
      <c r="D8" s="5">
        <v>13853.11</v>
      </c>
      <c r="E8" s="5">
        <v>834643.94</v>
      </c>
      <c r="F8" s="5">
        <v>454088.71</v>
      </c>
      <c r="G8" s="46">
        <v>461153.6</v>
      </c>
      <c r="H8" s="5">
        <v>355530.74</v>
      </c>
      <c r="I8" s="5">
        <v>423604.36</v>
      </c>
      <c r="J8" s="5">
        <v>39195.019999999997</v>
      </c>
      <c r="K8" s="5">
        <v>963335.95</v>
      </c>
      <c r="L8" s="5">
        <v>25813.1</v>
      </c>
      <c r="M8" s="46">
        <v>1031886.1</v>
      </c>
      <c r="N8" s="5">
        <v>713658.91</v>
      </c>
      <c r="O8" s="16">
        <v>5701222.7800000003</v>
      </c>
      <c r="P8" s="17">
        <v>475101.9</v>
      </c>
      <c r="Q8" s="18" t="s">
        <v>24</v>
      </c>
    </row>
    <row r="9" spans="2:17" ht="13.35" customHeight="1" x14ac:dyDescent="0.2">
      <c r="B9" s="15" t="s">
        <v>5</v>
      </c>
      <c r="C9" s="5">
        <v>65927.199999999997</v>
      </c>
      <c r="D9" s="5">
        <v>49278.3</v>
      </c>
      <c r="E9" s="5">
        <v>59334.87</v>
      </c>
      <c r="F9" s="5">
        <v>77705.22</v>
      </c>
      <c r="G9" s="46">
        <v>99291.93</v>
      </c>
      <c r="H9" s="5">
        <v>54770.54</v>
      </c>
      <c r="I9" s="5">
        <v>51253.98</v>
      </c>
      <c r="J9" s="5">
        <v>58820.68</v>
      </c>
      <c r="K9" s="5">
        <v>55576.91</v>
      </c>
      <c r="L9" s="5">
        <v>63883.3</v>
      </c>
      <c r="M9" s="46">
        <v>42997.599999999999</v>
      </c>
      <c r="N9" s="5">
        <v>52098.85</v>
      </c>
      <c r="O9" s="16">
        <v>730939.38</v>
      </c>
      <c r="P9" s="17">
        <v>60911.62</v>
      </c>
      <c r="Q9" s="18" t="s">
        <v>25</v>
      </c>
    </row>
    <row r="10" spans="2:17" ht="13.35" customHeight="1" x14ac:dyDescent="0.2">
      <c r="B10" s="15" t="s">
        <v>6</v>
      </c>
      <c r="C10" s="5">
        <v>415534</v>
      </c>
      <c r="D10" s="5">
        <v>232280</v>
      </c>
      <c r="E10" s="5">
        <v>302727</v>
      </c>
      <c r="F10" s="5">
        <v>202090</v>
      </c>
      <c r="G10" s="46">
        <v>206093</v>
      </c>
      <c r="H10" s="5">
        <v>185681.08</v>
      </c>
      <c r="I10" s="5">
        <v>229426.2</v>
      </c>
      <c r="J10" s="5">
        <v>246910</v>
      </c>
      <c r="K10" s="5">
        <v>218090.01</v>
      </c>
      <c r="L10" s="5">
        <v>28500</v>
      </c>
      <c r="M10" s="46">
        <v>451099.89</v>
      </c>
      <c r="N10" s="5">
        <v>145071.13</v>
      </c>
      <c r="O10" s="16">
        <v>2863502.31</v>
      </c>
      <c r="P10" s="17">
        <v>238625.19</v>
      </c>
      <c r="Q10" s="18" t="s">
        <v>24</v>
      </c>
    </row>
    <row r="11" spans="2:17" ht="13.35" customHeight="1" x14ac:dyDescent="0.2">
      <c r="B11" s="15" t="s">
        <v>7</v>
      </c>
      <c r="C11" s="36">
        <v>0</v>
      </c>
      <c r="D11" s="5">
        <v>1725</v>
      </c>
      <c r="E11" s="5">
        <v>8775</v>
      </c>
      <c r="F11" s="5">
        <v>4900</v>
      </c>
      <c r="G11" s="46">
        <v>4650</v>
      </c>
      <c r="H11" s="5">
        <v>3750</v>
      </c>
      <c r="I11" s="5">
        <v>4950</v>
      </c>
      <c r="J11" s="5">
        <v>6500</v>
      </c>
      <c r="K11" s="5">
        <v>39950</v>
      </c>
      <c r="L11" s="5">
        <v>30100</v>
      </c>
      <c r="M11" s="46">
        <v>47900</v>
      </c>
      <c r="N11" s="5">
        <v>38500</v>
      </c>
      <c r="O11" s="16">
        <v>191700</v>
      </c>
      <c r="P11" s="17">
        <v>15975</v>
      </c>
      <c r="Q11" s="18" t="s">
        <v>24</v>
      </c>
    </row>
    <row r="12" spans="2:17" ht="13.35" customHeight="1" x14ac:dyDescent="0.2">
      <c r="B12" s="15" t="s">
        <v>17</v>
      </c>
      <c r="C12" s="5">
        <v>189726.42</v>
      </c>
      <c r="D12" s="5">
        <v>208135.22</v>
      </c>
      <c r="E12" s="5">
        <v>126641.29</v>
      </c>
      <c r="F12" s="5">
        <v>152835.34</v>
      </c>
      <c r="G12" s="46">
        <v>186652.6</v>
      </c>
      <c r="H12" s="5">
        <v>2067.91</v>
      </c>
      <c r="I12" s="5">
        <v>374874.64</v>
      </c>
      <c r="J12" s="5">
        <v>140906.20000000001</v>
      </c>
      <c r="K12" s="5">
        <v>56599.8</v>
      </c>
      <c r="L12" s="5">
        <v>291794.25</v>
      </c>
      <c r="M12" s="46">
        <v>149011.1</v>
      </c>
      <c r="N12" s="5">
        <v>127292.66</v>
      </c>
      <c r="O12" s="16">
        <v>2006537.43</v>
      </c>
      <c r="P12" s="17">
        <v>167211.45000000001</v>
      </c>
      <c r="Q12" s="18" t="s">
        <v>24</v>
      </c>
    </row>
    <row r="13" spans="2:17" ht="13.35" customHeight="1" x14ac:dyDescent="0.2">
      <c r="B13" s="15" t="s">
        <v>8</v>
      </c>
      <c r="C13" s="5">
        <v>79035.28</v>
      </c>
      <c r="D13" s="5">
        <v>43317.599999999999</v>
      </c>
      <c r="E13" s="5">
        <v>95703.88</v>
      </c>
      <c r="F13" s="5">
        <v>125274.5</v>
      </c>
      <c r="G13" s="46">
        <v>71498.679999999993</v>
      </c>
      <c r="H13" s="5">
        <v>77417.53</v>
      </c>
      <c r="I13" s="5">
        <v>131860.54999999999</v>
      </c>
      <c r="J13" s="5">
        <v>115893.63</v>
      </c>
      <c r="K13" s="36">
        <v>0</v>
      </c>
      <c r="L13" s="5">
        <v>54967.96</v>
      </c>
      <c r="M13" s="46">
        <v>32963.599999999999</v>
      </c>
      <c r="N13" s="5">
        <v>72613.8</v>
      </c>
      <c r="O13" s="16">
        <v>900547.01</v>
      </c>
      <c r="P13" s="17">
        <v>75045.58</v>
      </c>
      <c r="Q13" s="18" t="s">
        <v>25</v>
      </c>
    </row>
    <row r="14" spans="2:17" ht="13.35" customHeight="1" x14ac:dyDescent="0.2">
      <c r="B14" s="31" t="s">
        <v>9</v>
      </c>
      <c r="C14" s="32">
        <v>177662.51</v>
      </c>
      <c r="D14" s="32">
        <v>309122.51</v>
      </c>
      <c r="E14" s="32">
        <v>69328.75</v>
      </c>
      <c r="F14" s="47">
        <v>700</v>
      </c>
      <c r="G14" s="48">
        <v>243579.18</v>
      </c>
      <c r="H14" s="32">
        <v>167857.64</v>
      </c>
      <c r="I14" s="32">
        <v>147449.24</v>
      </c>
      <c r="J14" s="32">
        <v>81970.039999999994</v>
      </c>
      <c r="K14" s="32">
        <v>17888.349999999999</v>
      </c>
      <c r="L14" s="32">
        <v>104607.63</v>
      </c>
      <c r="M14" s="48">
        <v>103830.85</v>
      </c>
      <c r="N14" s="32">
        <v>102592.75</v>
      </c>
      <c r="O14" s="33">
        <v>1526589.4399999999</v>
      </c>
      <c r="P14" s="34">
        <v>127215.79</v>
      </c>
      <c r="Q14" s="35" t="s">
        <v>24</v>
      </c>
    </row>
    <row r="15" spans="2:17" ht="13.35" customHeight="1" x14ac:dyDescent="0.2">
      <c r="B15" s="15" t="s">
        <v>10</v>
      </c>
      <c r="C15" s="5">
        <v>36364.92</v>
      </c>
      <c r="D15" s="5">
        <v>34137.25</v>
      </c>
      <c r="E15" s="5">
        <v>32529.63</v>
      </c>
      <c r="F15" s="5">
        <v>35929.300000000003</v>
      </c>
      <c r="G15" s="43">
        <v>0</v>
      </c>
      <c r="H15" s="5">
        <v>52474.49</v>
      </c>
      <c r="I15" s="5">
        <v>27309.79</v>
      </c>
      <c r="J15" s="5">
        <v>12371.98</v>
      </c>
      <c r="K15" s="5">
        <v>58538.59</v>
      </c>
      <c r="L15" s="5">
        <v>19677.66</v>
      </c>
      <c r="M15" s="46">
        <v>33664.660000000003</v>
      </c>
      <c r="N15" s="5">
        <v>31310.6</v>
      </c>
      <c r="O15" s="16">
        <v>374308.87</v>
      </c>
      <c r="P15" s="17">
        <v>31192.41</v>
      </c>
      <c r="Q15" s="18" t="s">
        <v>24</v>
      </c>
    </row>
    <row r="16" spans="2:17" ht="13.35" customHeight="1" x14ac:dyDescent="0.2">
      <c r="B16" s="15" t="s">
        <v>11</v>
      </c>
      <c r="C16" s="5">
        <v>109520.8</v>
      </c>
      <c r="D16" s="5">
        <v>99678</v>
      </c>
      <c r="E16" s="5">
        <v>36315.360000000001</v>
      </c>
      <c r="F16" s="5">
        <v>172970.64</v>
      </c>
      <c r="G16" s="46">
        <v>68370</v>
      </c>
      <c r="H16" s="5">
        <v>69220</v>
      </c>
      <c r="I16" s="5">
        <v>84201.38</v>
      </c>
      <c r="J16" s="5">
        <v>100264.68</v>
      </c>
      <c r="K16" s="5">
        <v>111608.08</v>
      </c>
      <c r="L16" s="5">
        <v>139213.34</v>
      </c>
      <c r="M16" s="46">
        <v>128951.28</v>
      </c>
      <c r="N16" s="5">
        <v>131709.01999999999</v>
      </c>
      <c r="O16" s="16">
        <v>1252022.58</v>
      </c>
      <c r="P16" s="17">
        <v>104335.22</v>
      </c>
      <c r="Q16" s="18" t="s">
        <v>25</v>
      </c>
    </row>
    <row r="17" spans="2:17" ht="13.35" customHeight="1" x14ac:dyDescent="0.2">
      <c r="B17" s="15" t="s">
        <v>12</v>
      </c>
      <c r="C17" s="5">
        <v>7500</v>
      </c>
      <c r="D17" s="5">
        <v>61782.720000000001</v>
      </c>
      <c r="E17" s="36">
        <v>0</v>
      </c>
      <c r="F17" s="36">
        <v>0</v>
      </c>
      <c r="G17" s="43">
        <v>0</v>
      </c>
      <c r="H17" s="5">
        <v>28253.06</v>
      </c>
      <c r="I17" s="36">
        <v>0</v>
      </c>
      <c r="J17" s="5">
        <v>6661.52</v>
      </c>
      <c r="K17" s="5">
        <v>83636.86</v>
      </c>
      <c r="L17" s="5">
        <v>42019.37</v>
      </c>
      <c r="M17" s="46">
        <v>1795.9</v>
      </c>
      <c r="N17" s="5">
        <v>31819.24</v>
      </c>
      <c r="O17" s="16">
        <v>263468.67</v>
      </c>
      <c r="P17" s="17">
        <v>21955.72</v>
      </c>
      <c r="Q17" s="18" t="s">
        <v>25</v>
      </c>
    </row>
    <row r="18" spans="2:17" ht="13.35" customHeight="1" x14ac:dyDescent="0.2">
      <c r="B18" s="15" t="s">
        <v>13</v>
      </c>
      <c r="C18" s="5">
        <v>8010</v>
      </c>
      <c r="D18" s="5">
        <v>22080</v>
      </c>
      <c r="E18" s="5">
        <v>21768.39</v>
      </c>
      <c r="F18" s="5">
        <v>25835</v>
      </c>
      <c r="G18" s="46">
        <v>23906.97</v>
      </c>
      <c r="H18" s="5">
        <v>5870</v>
      </c>
      <c r="I18" s="5">
        <v>26571.87</v>
      </c>
      <c r="J18" s="5">
        <v>29507.82</v>
      </c>
      <c r="K18" s="5">
        <v>19350</v>
      </c>
      <c r="L18" s="5">
        <v>48635</v>
      </c>
      <c r="M18" s="46">
        <v>64887.78</v>
      </c>
      <c r="N18" s="5">
        <v>31087.55</v>
      </c>
      <c r="O18" s="16">
        <v>327510.38</v>
      </c>
      <c r="P18" s="17">
        <v>27292.53</v>
      </c>
      <c r="Q18" s="18" t="s">
        <v>24</v>
      </c>
    </row>
    <row r="19" spans="2:17" ht="13.35" customHeight="1" x14ac:dyDescent="0.2">
      <c r="B19" s="15" t="s">
        <v>14</v>
      </c>
      <c r="C19" s="5">
        <v>58650</v>
      </c>
      <c r="D19" s="5">
        <v>45850</v>
      </c>
      <c r="E19" s="5">
        <v>11650</v>
      </c>
      <c r="F19" s="5">
        <v>102800</v>
      </c>
      <c r="G19" s="46">
        <v>48650</v>
      </c>
      <c r="H19" s="5">
        <v>51360.29</v>
      </c>
      <c r="I19" s="5">
        <v>45050</v>
      </c>
      <c r="J19" s="5">
        <v>45050</v>
      </c>
      <c r="K19" s="5">
        <v>78150</v>
      </c>
      <c r="L19" s="5">
        <v>56050</v>
      </c>
      <c r="M19" s="46">
        <v>6100</v>
      </c>
      <c r="N19" s="5">
        <v>159416.48000000001</v>
      </c>
      <c r="O19" s="16">
        <v>708776.77</v>
      </c>
      <c r="P19" s="17">
        <v>59064.73</v>
      </c>
      <c r="Q19" s="18" t="s">
        <v>25</v>
      </c>
    </row>
    <row r="20" spans="2:17" ht="13.35" customHeight="1" x14ac:dyDescent="0.2">
      <c r="B20" s="15" t="s">
        <v>15</v>
      </c>
      <c r="C20" s="5">
        <v>4101.04</v>
      </c>
      <c r="D20" s="5">
        <v>4987.32</v>
      </c>
      <c r="E20" s="36">
        <v>0</v>
      </c>
      <c r="F20" s="36">
        <v>0</v>
      </c>
      <c r="G20" s="43">
        <v>0</v>
      </c>
      <c r="H20" s="36">
        <v>0</v>
      </c>
      <c r="I20" s="5">
        <v>59177.440000000002</v>
      </c>
      <c r="J20" s="5">
        <v>4753.8100000000004</v>
      </c>
      <c r="K20" s="5">
        <v>11092.21</v>
      </c>
      <c r="L20" s="5">
        <v>16268.56</v>
      </c>
      <c r="M20" s="46">
        <v>15933.88</v>
      </c>
      <c r="N20" s="5">
        <v>32772.42</v>
      </c>
      <c r="O20" s="16">
        <v>149086.68</v>
      </c>
      <c r="P20" s="17">
        <v>12423.89</v>
      </c>
      <c r="Q20" s="18" t="s">
        <v>25</v>
      </c>
    </row>
    <row r="21" spans="2:17" ht="13.35" customHeight="1" x14ac:dyDescent="0.2">
      <c r="B21" s="15" t="s">
        <v>16</v>
      </c>
      <c r="C21" s="36">
        <v>0</v>
      </c>
      <c r="D21" s="5">
        <v>2200</v>
      </c>
      <c r="E21" s="5">
        <v>5530</v>
      </c>
      <c r="F21" s="36">
        <v>0</v>
      </c>
      <c r="G21" s="46">
        <v>6610</v>
      </c>
      <c r="H21" s="5">
        <v>5321.6</v>
      </c>
      <c r="I21" s="44">
        <v>200</v>
      </c>
      <c r="J21" s="5">
        <v>12615</v>
      </c>
      <c r="K21" s="5">
        <v>4600</v>
      </c>
      <c r="L21" s="5">
        <v>6050</v>
      </c>
      <c r="M21" s="46">
        <v>6679.4</v>
      </c>
      <c r="N21" s="5">
        <v>6500</v>
      </c>
      <c r="O21" s="16">
        <v>56306</v>
      </c>
      <c r="P21" s="17">
        <v>4692.17</v>
      </c>
      <c r="Q21" s="18" t="s">
        <v>24</v>
      </c>
    </row>
    <row r="22" spans="2:17" ht="13.35" customHeight="1" x14ac:dyDescent="0.2">
      <c r="B22" s="15" t="s">
        <v>18</v>
      </c>
      <c r="C22" s="36">
        <v>0</v>
      </c>
      <c r="D22" s="36">
        <v>0</v>
      </c>
      <c r="E22" s="36">
        <v>0</v>
      </c>
      <c r="F22" s="36">
        <v>0</v>
      </c>
      <c r="G22" s="43">
        <v>0</v>
      </c>
      <c r="H22" s="5">
        <v>210000</v>
      </c>
      <c r="I22" s="5">
        <v>210120</v>
      </c>
      <c r="J22" s="5">
        <v>210120</v>
      </c>
      <c r="K22" s="5">
        <v>210000</v>
      </c>
      <c r="L22" s="5">
        <v>210000</v>
      </c>
      <c r="M22" s="46">
        <v>210232.62</v>
      </c>
      <c r="N22" s="5">
        <v>210000</v>
      </c>
      <c r="O22" s="16">
        <v>1470472.62</v>
      </c>
      <c r="P22" s="17">
        <v>122539.39</v>
      </c>
      <c r="Q22" s="18" t="s">
        <v>24</v>
      </c>
    </row>
    <row r="23" spans="2:17" ht="13.35" customHeight="1" x14ac:dyDescent="0.2">
      <c r="B23" s="15" t="s">
        <v>19</v>
      </c>
      <c r="C23" s="5">
        <v>80392.070000000007</v>
      </c>
      <c r="D23" s="5">
        <v>109000</v>
      </c>
      <c r="E23" s="5">
        <v>96752.03</v>
      </c>
      <c r="F23" s="5">
        <v>322676.68</v>
      </c>
      <c r="G23" s="46">
        <v>252353.34</v>
      </c>
      <c r="H23" s="5">
        <v>318686.90999999997</v>
      </c>
      <c r="I23" s="5">
        <v>248070</v>
      </c>
      <c r="J23" s="5">
        <v>240986</v>
      </c>
      <c r="K23" s="5">
        <v>224986</v>
      </c>
      <c r="L23" s="5">
        <v>439347.17</v>
      </c>
      <c r="M23" s="46">
        <v>114223</v>
      </c>
      <c r="N23" s="5">
        <v>165036.64000000001</v>
      </c>
      <c r="O23" s="16">
        <v>2612509.84</v>
      </c>
      <c r="P23" s="17">
        <v>217709.15</v>
      </c>
      <c r="Q23" s="18" t="s">
        <v>25</v>
      </c>
    </row>
    <row r="24" spans="2:17" ht="13.35" customHeight="1" thickBot="1" x14ac:dyDescent="0.25">
      <c r="B24" s="49" t="s">
        <v>20</v>
      </c>
      <c r="C24" s="50">
        <v>136529.01</v>
      </c>
      <c r="D24" s="51">
        <v>0</v>
      </c>
      <c r="E24" s="50">
        <v>111000</v>
      </c>
      <c r="F24" s="50">
        <v>47000</v>
      </c>
      <c r="G24" s="52">
        <v>66500</v>
      </c>
      <c r="H24" s="50">
        <v>78996</v>
      </c>
      <c r="I24" s="50">
        <v>59000</v>
      </c>
      <c r="J24" s="51">
        <v>0</v>
      </c>
      <c r="K24" s="50">
        <v>133500</v>
      </c>
      <c r="L24" s="50">
        <v>55008.03</v>
      </c>
      <c r="M24" s="52">
        <v>105500</v>
      </c>
      <c r="N24" s="50">
        <v>88145.35</v>
      </c>
      <c r="O24" s="53">
        <v>881178.39</v>
      </c>
      <c r="P24" s="54">
        <v>73431.53</v>
      </c>
      <c r="Q24" s="55" t="s">
        <v>24</v>
      </c>
    </row>
    <row r="25" spans="2:17" ht="13.35" customHeight="1" thickBot="1" x14ac:dyDescent="0.25">
      <c r="B25" s="24" t="s">
        <v>22</v>
      </c>
      <c r="C25" s="56">
        <v>2128952.79</v>
      </c>
      <c r="D25" s="56">
        <v>1573272.09</v>
      </c>
      <c r="E25" s="56">
        <v>2476961.44</v>
      </c>
      <c r="F25" s="56">
        <v>2086485.94</v>
      </c>
      <c r="G25" s="56">
        <v>2038109.06</v>
      </c>
      <c r="H25" s="56">
        <v>1960087.75</v>
      </c>
      <c r="I25" s="56">
        <v>2449578.39</v>
      </c>
      <c r="J25" s="56">
        <v>1751404.72</v>
      </c>
      <c r="K25" s="56">
        <v>2636104.91</v>
      </c>
      <c r="L25" s="56">
        <v>1991057.37</v>
      </c>
      <c r="M25" s="56">
        <v>2890477.23</v>
      </c>
      <c r="N25" s="56">
        <v>2672542.36</v>
      </c>
      <c r="O25" s="25">
        <v>26655034.050000001</v>
      </c>
      <c r="P25" s="26">
        <v>2221252.84</v>
      </c>
      <c r="Q25" s="27"/>
    </row>
    <row r="26" spans="2:17" ht="13.35" customHeight="1" thickBo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 ht="13.5" thickBot="1" x14ac:dyDescent="0.25">
      <c r="B27" s="67" t="s">
        <v>31</v>
      </c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2:17" ht="13.5" thickBot="1" x14ac:dyDescent="0.25">
      <c r="B28" s="28" t="s">
        <v>21</v>
      </c>
      <c r="C28" s="3">
        <v>44197</v>
      </c>
      <c r="D28" s="3">
        <v>44228</v>
      </c>
      <c r="E28" s="3">
        <v>44256</v>
      </c>
      <c r="F28" s="3">
        <v>44287</v>
      </c>
      <c r="G28" s="3">
        <v>44317</v>
      </c>
      <c r="H28" s="3">
        <v>44348</v>
      </c>
      <c r="I28" s="3">
        <v>44378</v>
      </c>
      <c r="J28" s="3">
        <v>44409</v>
      </c>
      <c r="K28" s="3">
        <v>44440</v>
      </c>
      <c r="L28" s="3">
        <v>44470</v>
      </c>
      <c r="M28" s="3">
        <v>44501</v>
      </c>
      <c r="N28" s="3">
        <v>44531</v>
      </c>
      <c r="O28" s="29" t="s">
        <v>29</v>
      </c>
      <c r="P28" s="30" t="s">
        <v>32</v>
      </c>
      <c r="Q28" s="13" t="s">
        <v>23</v>
      </c>
    </row>
    <row r="29" spans="2:17" ht="12.75" customHeight="1" x14ac:dyDescent="0.2">
      <c r="B29" s="14" t="s">
        <v>33</v>
      </c>
      <c r="C29" s="4">
        <v>203872.79</v>
      </c>
      <c r="D29" s="4">
        <v>200783.18</v>
      </c>
      <c r="E29" s="4">
        <v>282141.56</v>
      </c>
      <c r="F29" s="4">
        <v>377348.85000000003</v>
      </c>
      <c r="G29" s="4">
        <v>371219.38999999996</v>
      </c>
      <c r="H29" s="4">
        <v>160247.86000000002</v>
      </c>
      <c r="I29" s="4">
        <v>316352.58</v>
      </c>
      <c r="J29" s="4">
        <v>345080.24</v>
      </c>
      <c r="K29" s="4">
        <v>328923.24</v>
      </c>
      <c r="L29" s="4">
        <v>270188.26</v>
      </c>
      <c r="M29" s="4">
        <v>278622.09999999998</v>
      </c>
      <c r="N29" s="4">
        <v>625422.44999999995</v>
      </c>
      <c r="O29" s="4">
        <v>3760202.5</v>
      </c>
      <c r="P29" s="4">
        <v>313350.20833333331</v>
      </c>
      <c r="Q29" s="4" t="s">
        <v>25</v>
      </c>
    </row>
    <row r="30" spans="2:17" ht="13.35" customHeight="1" x14ac:dyDescent="0.2">
      <c r="B30" s="15" t="s">
        <v>0</v>
      </c>
      <c r="C30" s="5">
        <v>108032.79000000001</v>
      </c>
      <c r="D30" s="5">
        <v>136630.24</v>
      </c>
      <c r="E30" s="5">
        <v>203563.94</v>
      </c>
      <c r="F30" s="5">
        <v>234017.07</v>
      </c>
      <c r="G30" s="5">
        <v>271458.42</v>
      </c>
      <c r="H30" s="5">
        <v>112475.79000000001</v>
      </c>
      <c r="I30" s="5">
        <v>219997</v>
      </c>
      <c r="J30" s="5">
        <v>254797.8</v>
      </c>
      <c r="K30" s="5">
        <v>231415</v>
      </c>
      <c r="L30" s="5">
        <v>213733.26</v>
      </c>
      <c r="M30" s="5">
        <v>166517.1</v>
      </c>
      <c r="N30" s="5">
        <v>234633.07</v>
      </c>
      <c r="O30" s="16">
        <v>2387271.48</v>
      </c>
      <c r="P30" s="17">
        <v>198939.28999999998</v>
      </c>
      <c r="Q30" s="18" t="s">
        <v>25</v>
      </c>
    </row>
    <row r="31" spans="2:17" ht="13.35" customHeight="1" x14ac:dyDescent="0.2">
      <c r="B31" s="15" t="s">
        <v>1</v>
      </c>
      <c r="C31" s="5">
        <v>47400</v>
      </c>
      <c r="D31" s="5">
        <v>59211</v>
      </c>
      <c r="E31" s="5">
        <v>61040</v>
      </c>
      <c r="F31" s="5">
        <v>103360</v>
      </c>
      <c r="G31" s="5">
        <v>74650</v>
      </c>
      <c r="H31" s="5">
        <v>44540</v>
      </c>
      <c r="I31" s="5">
        <v>59705</v>
      </c>
      <c r="J31" s="5">
        <v>69475</v>
      </c>
      <c r="K31" s="5">
        <v>72625</v>
      </c>
      <c r="L31" s="5">
        <v>56030</v>
      </c>
      <c r="M31" s="5">
        <v>83480</v>
      </c>
      <c r="N31" s="5">
        <v>117815</v>
      </c>
      <c r="O31" s="16">
        <v>849331</v>
      </c>
      <c r="P31" s="17">
        <v>70777.583333333328</v>
      </c>
      <c r="Q31" s="18" t="s">
        <v>25</v>
      </c>
    </row>
    <row r="32" spans="2:17" ht="13.35" customHeight="1" x14ac:dyDescent="0.2">
      <c r="B32" s="15" t="s">
        <v>2</v>
      </c>
      <c r="C32" s="5">
        <v>48440</v>
      </c>
      <c r="D32" s="5">
        <v>4941.9400000000005</v>
      </c>
      <c r="E32" s="5">
        <v>17537.62</v>
      </c>
      <c r="F32" s="5">
        <v>39971.78</v>
      </c>
      <c r="G32" s="5">
        <v>25110.97</v>
      </c>
      <c r="H32" s="5">
        <v>3232.07</v>
      </c>
      <c r="I32" s="5">
        <v>36650.58</v>
      </c>
      <c r="J32" s="5">
        <v>20807.439999999999</v>
      </c>
      <c r="K32" s="5">
        <v>24883.24</v>
      </c>
      <c r="L32" s="5">
        <v>425</v>
      </c>
      <c r="M32" s="5">
        <v>28625</v>
      </c>
      <c r="N32" s="5">
        <v>272974.38</v>
      </c>
      <c r="O32" s="16">
        <v>523600.01999999996</v>
      </c>
      <c r="P32" s="17">
        <v>43633.334999999999</v>
      </c>
      <c r="Q32" s="18" t="s">
        <v>25</v>
      </c>
    </row>
    <row r="33" spans="2:17" ht="13.35" customHeight="1" x14ac:dyDescent="0.2">
      <c r="B33" s="15" t="s">
        <v>3</v>
      </c>
      <c r="C33" s="5">
        <v>88963.89</v>
      </c>
      <c r="D33" s="5">
        <v>44117.36</v>
      </c>
      <c r="E33" s="5">
        <v>74923.98</v>
      </c>
      <c r="F33" s="5">
        <v>72150.960000000006</v>
      </c>
      <c r="G33" s="5">
        <v>96821.989999999991</v>
      </c>
      <c r="H33" s="5">
        <v>85015.61</v>
      </c>
      <c r="I33" s="5">
        <v>92798.22</v>
      </c>
      <c r="J33" s="5">
        <v>110656.17</v>
      </c>
      <c r="K33" s="5">
        <v>99518.91</v>
      </c>
      <c r="L33" s="5">
        <v>91943.55</v>
      </c>
      <c r="M33" s="5">
        <v>87163.72</v>
      </c>
      <c r="N33" s="5">
        <v>77858.080000000002</v>
      </c>
      <c r="O33" s="16">
        <v>1021932.44</v>
      </c>
      <c r="P33" s="17">
        <v>85161.036666666667</v>
      </c>
      <c r="Q33" s="18" t="s">
        <v>24</v>
      </c>
    </row>
    <row r="34" spans="2:17" ht="13.35" customHeight="1" x14ac:dyDescent="0.2">
      <c r="B34" s="15" t="s">
        <v>4</v>
      </c>
      <c r="C34" s="5">
        <v>470698.23999999999</v>
      </c>
      <c r="D34" s="5">
        <v>242658.66000000003</v>
      </c>
      <c r="E34" s="5">
        <v>125424.31999999999</v>
      </c>
      <c r="F34" s="5">
        <v>497187.81999999995</v>
      </c>
      <c r="G34" s="5">
        <v>450874.28</v>
      </c>
      <c r="H34" s="5">
        <v>612723.1</v>
      </c>
      <c r="I34" s="5">
        <v>399660.2</v>
      </c>
      <c r="J34" s="5">
        <v>413377.43</v>
      </c>
      <c r="K34" s="5">
        <v>412651.88</v>
      </c>
      <c r="L34" s="5">
        <v>391603.6</v>
      </c>
      <c r="M34" s="5">
        <v>420860.94</v>
      </c>
      <c r="N34" s="5">
        <v>415173.44</v>
      </c>
      <c r="O34" s="16">
        <v>4852893.9100000011</v>
      </c>
      <c r="P34" s="17">
        <v>404407.82583333331</v>
      </c>
      <c r="Q34" s="18" t="s">
        <v>24</v>
      </c>
    </row>
    <row r="35" spans="2:17" ht="13.35" customHeight="1" x14ac:dyDescent="0.2">
      <c r="B35" s="31" t="s">
        <v>5</v>
      </c>
      <c r="C35" s="32">
        <v>59505.520000000004</v>
      </c>
      <c r="D35" s="32">
        <v>51101.77</v>
      </c>
      <c r="E35" s="32">
        <v>46119.87</v>
      </c>
      <c r="F35" s="32">
        <v>57568.46</v>
      </c>
      <c r="G35" s="32">
        <v>54052.46</v>
      </c>
      <c r="H35" s="32">
        <v>63882.05</v>
      </c>
      <c r="I35" s="32">
        <v>42700.54</v>
      </c>
      <c r="J35" s="32">
        <v>3868</v>
      </c>
      <c r="K35" s="32">
        <v>0</v>
      </c>
      <c r="L35" s="32">
        <v>0</v>
      </c>
      <c r="M35" s="32">
        <v>500</v>
      </c>
      <c r="N35" s="32">
        <v>900</v>
      </c>
      <c r="O35" s="33">
        <v>380198.67</v>
      </c>
      <c r="P35" s="34">
        <v>31683.222499999996</v>
      </c>
      <c r="Q35" s="35" t="s">
        <v>25</v>
      </c>
    </row>
    <row r="36" spans="2:17" ht="13.35" customHeight="1" x14ac:dyDescent="0.2">
      <c r="B36" s="15" t="s">
        <v>6</v>
      </c>
      <c r="C36" s="5">
        <v>206190.82</v>
      </c>
      <c r="D36" s="5">
        <v>253451.74</v>
      </c>
      <c r="E36" s="5">
        <v>127126</v>
      </c>
      <c r="F36" s="5">
        <v>255378</v>
      </c>
      <c r="G36" s="5">
        <v>242594.33</v>
      </c>
      <c r="H36" s="5">
        <v>196457.21000000002</v>
      </c>
      <c r="I36" s="5">
        <v>244442.79</v>
      </c>
      <c r="J36" s="5">
        <v>91161.64</v>
      </c>
      <c r="K36" s="5">
        <v>334145</v>
      </c>
      <c r="L36" s="5">
        <v>347407.1</v>
      </c>
      <c r="M36" s="5">
        <v>376123.17</v>
      </c>
      <c r="N36" s="5">
        <v>487323</v>
      </c>
      <c r="O36" s="16">
        <v>3161800.8</v>
      </c>
      <c r="P36" s="17">
        <v>263483.39999999997</v>
      </c>
      <c r="Q36" s="18" t="s">
        <v>25</v>
      </c>
    </row>
    <row r="37" spans="2:17" ht="13.35" customHeight="1" x14ac:dyDescent="0.2">
      <c r="B37" s="15" t="s">
        <v>7</v>
      </c>
      <c r="C37" s="5">
        <v>28000</v>
      </c>
      <c r="D37" s="5">
        <v>0</v>
      </c>
      <c r="E37" s="5">
        <v>63800</v>
      </c>
      <c r="F37" s="5">
        <v>0</v>
      </c>
      <c r="G37" s="5">
        <v>83500</v>
      </c>
      <c r="H37" s="5">
        <v>37300</v>
      </c>
      <c r="I37" s="5">
        <v>0</v>
      </c>
      <c r="J37" s="5">
        <v>68570</v>
      </c>
      <c r="K37" s="5">
        <v>0</v>
      </c>
      <c r="L37" s="5">
        <v>48415</v>
      </c>
      <c r="M37" s="5">
        <v>53535</v>
      </c>
      <c r="N37" s="5">
        <v>27000</v>
      </c>
      <c r="O37" s="16">
        <v>410120</v>
      </c>
      <c r="P37" s="17">
        <v>34176.666666666664</v>
      </c>
      <c r="Q37" s="18" t="s">
        <v>24</v>
      </c>
    </row>
    <row r="38" spans="2:17" ht="13.35" customHeight="1" x14ac:dyDescent="0.2">
      <c r="B38" s="15" t="s">
        <v>17</v>
      </c>
      <c r="C38" s="5">
        <v>158302.82999999999</v>
      </c>
      <c r="D38" s="5">
        <v>0</v>
      </c>
      <c r="E38" s="5">
        <v>25333</v>
      </c>
      <c r="F38" s="5">
        <v>0</v>
      </c>
      <c r="G38" s="5">
        <v>189312.83</v>
      </c>
      <c r="H38" s="5">
        <v>220220.12</v>
      </c>
      <c r="I38" s="5">
        <v>322860.01</v>
      </c>
      <c r="J38" s="5">
        <v>120377.65999999999</v>
      </c>
      <c r="K38" s="5">
        <v>257775.3</v>
      </c>
      <c r="L38" s="5">
        <v>138070.94999999998</v>
      </c>
      <c r="M38" s="5">
        <v>145556.6</v>
      </c>
      <c r="N38" s="5">
        <v>155637.83000000002</v>
      </c>
      <c r="O38" s="16">
        <v>1733447.13</v>
      </c>
      <c r="P38" s="17">
        <v>144453.92750000002</v>
      </c>
      <c r="Q38" s="18" t="s">
        <v>25</v>
      </c>
    </row>
    <row r="39" spans="2:17" ht="13.35" customHeight="1" x14ac:dyDescent="0.2">
      <c r="B39" s="15" t="s">
        <v>8</v>
      </c>
      <c r="C39" s="5">
        <v>69596.7</v>
      </c>
      <c r="D39" s="5">
        <v>241578.13</v>
      </c>
      <c r="E39" s="5">
        <v>123846.64</v>
      </c>
      <c r="F39" s="5">
        <v>192972.4</v>
      </c>
      <c r="G39" s="5">
        <v>196502.6</v>
      </c>
      <c r="H39" s="5">
        <v>113645.85</v>
      </c>
      <c r="I39" s="5">
        <v>151682.08000000002</v>
      </c>
      <c r="J39" s="5">
        <v>192060.38</v>
      </c>
      <c r="K39" s="5">
        <v>169878.47</v>
      </c>
      <c r="L39" s="5">
        <v>162651.35</v>
      </c>
      <c r="M39" s="5">
        <v>183355.65</v>
      </c>
      <c r="N39" s="5">
        <v>186979.8</v>
      </c>
      <c r="O39" s="16">
        <v>1984750.0499999998</v>
      </c>
      <c r="P39" s="17">
        <v>165395.83749999999</v>
      </c>
      <c r="Q39" s="18" t="s">
        <v>25</v>
      </c>
    </row>
    <row r="40" spans="2:17" ht="13.35" customHeight="1" x14ac:dyDescent="0.2">
      <c r="B40" s="31" t="s">
        <v>9</v>
      </c>
      <c r="C40" s="32">
        <v>76748.5</v>
      </c>
      <c r="D40" s="32">
        <v>12882.5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177.5</v>
      </c>
      <c r="K40" s="32">
        <v>33954.04</v>
      </c>
      <c r="L40" s="32">
        <v>0</v>
      </c>
      <c r="M40" s="32">
        <v>0</v>
      </c>
      <c r="N40" s="32">
        <v>606.23</v>
      </c>
      <c r="O40" s="33">
        <v>124368.77</v>
      </c>
      <c r="P40" s="34">
        <v>10364.064166666667</v>
      </c>
      <c r="Q40" s="35" t="s">
        <v>25</v>
      </c>
    </row>
    <row r="41" spans="2:17" ht="13.35" customHeight="1" x14ac:dyDescent="0.2">
      <c r="B41" s="15" t="s">
        <v>10</v>
      </c>
      <c r="C41" s="5">
        <v>23322.53</v>
      </c>
      <c r="D41" s="5">
        <v>27731.47</v>
      </c>
      <c r="E41" s="5">
        <v>31939.4</v>
      </c>
      <c r="F41" s="5">
        <v>60067.89</v>
      </c>
      <c r="G41" s="5">
        <v>38775.599999999999</v>
      </c>
      <c r="H41" s="5">
        <v>46768.02</v>
      </c>
      <c r="I41" s="5">
        <v>36042.15</v>
      </c>
      <c r="J41" s="5">
        <v>36090.65</v>
      </c>
      <c r="K41" s="5">
        <v>49765.17</v>
      </c>
      <c r="L41" s="5">
        <v>48828.53</v>
      </c>
      <c r="M41" s="5">
        <v>49140.85</v>
      </c>
      <c r="N41" s="5">
        <v>59318.49</v>
      </c>
      <c r="O41" s="16">
        <v>507790.75</v>
      </c>
      <c r="P41" s="17">
        <v>42315.895833333328</v>
      </c>
      <c r="Q41" s="18" t="s">
        <v>25</v>
      </c>
    </row>
    <row r="42" spans="2:17" ht="13.35" customHeight="1" x14ac:dyDescent="0.2">
      <c r="B42" s="15" t="s">
        <v>11</v>
      </c>
      <c r="C42" s="5">
        <v>125809.95999999999</v>
      </c>
      <c r="D42" s="5">
        <v>124904.51</v>
      </c>
      <c r="E42" s="5">
        <v>133920.83000000002</v>
      </c>
      <c r="F42" s="5">
        <v>154316.51999999999</v>
      </c>
      <c r="G42" s="5">
        <v>163305.82999999999</v>
      </c>
      <c r="H42" s="5">
        <v>167506.48000000001</v>
      </c>
      <c r="I42" s="5">
        <v>186534.32</v>
      </c>
      <c r="J42" s="5">
        <v>162568.70000000001</v>
      </c>
      <c r="K42" s="5">
        <v>187018.12</v>
      </c>
      <c r="L42" s="5">
        <v>171205.67</v>
      </c>
      <c r="M42" s="5">
        <v>168916.06</v>
      </c>
      <c r="N42" s="5">
        <v>160926.93</v>
      </c>
      <c r="O42" s="16">
        <v>1906933.9300000002</v>
      </c>
      <c r="P42" s="17">
        <v>158911.16083333336</v>
      </c>
      <c r="Q42" s="18" t="s">
        <v>24</v>
      </c>
    </row>
    <row r="43" spans="2:17" ht="13.35" customHeight="1" x14ac:dyDescent="0.2">
      <c r="B43" s="15" t="s">
        <v>12</v>
      </c>
      <c r="C43" s="5">
        <v>19792.689999999999</v>
      </c>
      <c r="D43" s="5">
        <v>17465.04</v>
      </c>
      <c r="E43" s="5">
        <v>0</v>
      </c>
      <c r="F43" s="5">
        <v>18976.02</v>
      </c>
      <c r="G43" s="5">
        <v>21359.56</v>
      </c>
      <c r="H43" s="5">
        <v>22560.12</v>
      </c>
      <c r="I43" s="5">
        <v>0</v>
      </c>
      <c r="J43" s="5">
        <v>50539.46</v>
      </c>
      <c r="K43" s="5">
        <v>26942.61</v>
      </c>
      <c r="L43" s="5">
        <v>29898.98</v>
      </c>
      <c r="M43" s="5">
        <v>27923.14</v>
      </c>
      <c r="N43" s="5">
        <v>37052.080000000002</v>
      </c>
      <c r="O43" s="16">
        <v>272509.7</v>
      </c>
      <c r="P43" s="17">
        <v>22709.14166666667</v>
      </c>
      <c r="Q43" s="18" t="s">
        <v>25</v>
      </c>
    </row>
    <row r="44" spans="2:17" ht="13.35" customHeight="1" x14ac:dyDescent="0.2">
      <c r="B44" s="15" t="s">
        <v>13</v>
      </c>
      <c r="C44" s="5">
        <v>26178.54</v>
      </c>
      <c r="D44" s="5">
        <v>19585</v>
      </c>
      <c r="E44" s="5">
        <v>16185</v>
      </c>
      <c r="F44" s="5">
        <v>33315</v>
      </c>
      <c r="G44" s="5">
        <v>38359.699999999997</v>
      </c>
      <c r="H44" s="5">
        <v>45435</v>
      </c>
      <c r="I44" s="5">
        <v>57355.55</v>
      </c>
      <c r="J44" s="5">
        <v>55715</v>
      </c>
      <c r="K44" s="5">
        <v>46495</v>
      </c>
      <c r="L44" s="5">
        <v>53950</v>
      </c>
      <c r="M44" s="5">
        <v>38825</v>
      </c>
      <c r="N44" s="5">
        <v>35335</v>
      </c>
      <c r="O44" s="16">
        <v>466733.79</v>
      </c>
      <c r="P44" s="17">
        <v>38894.482499999998</v>
      </c>
      <c r="Q44" s="18" t="s">
        <v>24</v>
      </c>
    </row>
    <row r="45" spans="2:17" ht="13.35" customHeight="1" x14ac:dyDescent="0.2">
      <c r="B45" s="15" t="s">
        <v>14</v>
      </c>
      <c r="C45" s="36">
        <v>0</v>
      </c>
      <c r="D45" s="36">
        <v>54400</v>
      </c>
      <c r="E45" s="36">
        <v>28947.19</v>
      </c>
      <c r="F45" s="36">
        <v>29750</v>
      </c>
      <c r="G45" s="5">
        <v>53000</v>
      </c>
      <c r="H45" s="5">
        <v>43300</v>
      </c>
      <c r="I45" s="5">
        <v>41700</v>
      </c>
      <c r="J45" s="5">
        <v>32100</v>
      </c>
      <c r="K45" s="5">
        <v>42200</v>
      </c>
      <c r="L45" s="5">
        <v>39041.75</v>
      </c>
      <c r="M45" s="5">
        <v>46425</v>
      </c>
      <c r="N45" s="5">
        <v>107000</v>
      </c>
      <c r="O45" s="16">
        <v>517863.94</v>
      </c>
      <c r="P45" s="17">
        <v>43155.328333333338</v>
      </c>
      <c r="Q45" s="18" t="s">
        <v>25</v>
      </c>
    </row>
    <row r="46" spans="2:17" ht="13.35" customHeight="1" x14ac:dyDescent="0.2">
      <c r="B46" s="15" t="s">
        <v>15</v>
      </c>
      <c r="C46" s="5">
        <v>60</v>
      </c>
      <c r="D46" s="5">
        <v>16960.400000000001</v>
      </c>
      <c r="E46" s="5">
        <v>17319.259999999998</v>
      </c>
      <c r="F46" s="5">
        <v>33268.080000000002</v>
      </c>
      <c r="G46" s="5">
        <v>300</v>
      </c>
      <c r="H46" s="5">
        <v>18509.48</v>
      </c>
      <c r="I46" s="5">
        <v>18980.099999999999</v>
      </c>
      <c r="J46" s="5">
        <v>42051.22</v>
      </c>
      <c r="K46" s="5">
        <v>681.30000000000007</v>
      </c>
      <c r="L46" s="5">
        <v>0</v>
      </c>
      <c r="M46" s="5">
        <v>15005.6</v>
      </c>
      <c r="N46" s="5">
        <v>30685.759999999998</v>
      </c>
      <c r="O46" s="16">
        <v>193821.2</v>
      </c>
      <c r="P46" s="17">
        <v>16151.766666666668</v>
      </c>
      <c r="Q46" s="18" t="s">
        <v>25</v>
      </c>
    </row>
    <row r="47" spans="2:17" ht="13.35" customHeight="1" x14ac:dyDescent="0.2">
      <c r="B47" s="15" t="s">
        <v>16</v>
      </c>
      <c r="C47" s="5">
        <v>3650</v>
      </c>
      <c r="D47" s="5">
        <v>0</v>
      </c>
      <c r="E47" s="5">
        <v>12150</v>
      </c>
      <c r="F47" s="5">
        <v>6650</v>
      </c>
      <c r="G47" s="5">
        <v>5950</v>
      </c>
      <c r="H47" s="5">
        <v>1950</v>
      </c>
      <c r="I47" s="5">
        <v>4160</v>
      </c>
      <c r="J47" s="5">
        <v>3150</v>
      </c>
      <c r="K47" s="5">
        <v>2350</v>
      </c>
      <c r="L47" s="5">
        <v>2950</v>
      </c>
      <c r="M47" s="5">
        <v>0</v>
      </c>
      <c r="N47" s="5">
        <v>7900</v>
      </c>
      <c r="O47" s="16">
        <v>50860</v>
      </c>
      <c r="P47" s="17">
        <v>4238.333333333333</v>
      </c>
      <c r="Q47" s="18" t="s">
        <v>25</v>
      </c>
    </row>
    <row r="48" spans="2:17" ht="13.35" customHeight="1" x14ac:dyDescent="0.2">
      <c r="B48" s="19" t="s">
        <v>37</v>
      </c>
      <c r="C48" s="6">
        <v>210000</v>
      </c>
      <c r="D48" s="6">
        <v>210720</v>
      </c>
      <c r="E48" s="6">
        <v>210000</v>
      </c>
      <c r="F48" s="6">
        <v>210000</v>
      </c>
      <c r="G48" s="6">
        <v>420330</v>
      </c>
      <c r="H48" s="6">
        <v>210360</v>
      </c>
      <c r="I48" s="6">
        <v>210985.41999999998</v>
      </c>
      <c r="J48" s="6">
        <v>210390</v>
      </c>
      <c r="K48" s="6">
        <v>85920</v>
      </c>
      <c r="L48" s="6">
        <v>286099.32</v>
      </c>
      <c r="M48" s="6">
        <v>371210</v>
      </c>
      <c r="N48" s="6">
        <v>373505.20999999996</v>
      </c>
      <c r="O48" s="6">
        <v>3009519.9499999997</v>
      </c>
      <c r="P48" s="6">
        <v>250793.32916666663</v>
      </c>
      <c r="Q48" s="6" t="s">
        <v>25</v>
      </c>
    </row>
    <row r="49" spans="2:17" ht="13.35" customHeight="1" x14ac:dyDescent="0.2">
      <c r="B49" s="15" t="s">
        <v>34</v>
      </c>
      <c r="C49" s="5">
        <v>210000</v>
      </c>
      <c r="D49" s="5">
        <v>210720</v>
      </c>
      <c r="E49" s="5">
        <v>210000</v>
      </c>
      <c r="F49" s="5">
        <v>210000</v>
      </c>
      <c r="G49" s="5">
        <v>420330</v>
      </c>
      <c r="H49" s="5">
        <v>210360</v>
      </c>
      <c r="I49" s="5">
        <v>210985.41999999998</v>
      </c>
      <c r="J49" s="5">
        <v>210390</v>
      </c>
      <c r="K49" s="5">
        <v>420</v>
      </c>
      <c r="L49" s="5">
        <v>210450</v>
      </c>
      <c r="M49" s="5">
        <v>210210</v>
      </c>
      <c r="N49" s="5">
        <v>212505.21</v>
      </c>
      <c r="O49" s="16">
        <v>2526370.63</v>
      </c>
      <c r="P49" s="17">
        <v>210530.8858333333</v>
      </c>
      <c r="Q49" s="18" t="s">
        <v>25</v>
      </c>
    </row>
    <row r="50" spans="2:17" ht="13.35" customHeight="1" x14ac:dyDescent="0.2">
      <c r="B50" s="15" t="s">
        <v>35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85500</v>
      </c>
      <c r="L50" s="5">
        <v>75649.320000000007</v>
      </c>
      <c r="M50" s="5">
        <v>161000</v>
      </c>
      <c r="N50" s="5">
        <v>161000</v>
      </c>
      <c r="O50" s="16">
        <v>483149.32</v>
      </c>
      <c r="P50" s="17">
        <v>40262.443333333336</v>
      </c>
      <c r="Q50" s="18" t="s">
        <v>26</v>
      </c>
    </row>
    <row r="51" spans="2:17" ht="13.35" customHeight="1" x14ac:dyDescent="0.2">
      <c r="B51" s="15" t="s">
        <v>19</v>
      </c>
      <c r="C51" s="5">
        <v>361582.16000000003</v>
      </c>
      <c r="D51" s="5">
        <v>119173.33</v>
      </c>
      <c r="E51" s="5">
        <v>79673.33</v>
      </c>
      <c r="F51" s="5">
        <v>168378.33</v>
      </c>
      <c r="G51" s="5">
        <v>192153.33</v>
      </c>
      <c r="H51" s="5">
        <v>126798.33</v>
      </c>
      <c r="I51" s="5">
        <v>132935</v>
      </c>
      <c r="J51" s="5">
        <v>199743.95</v>
      </c>
      <c r="K51" s="5">
        <v>153495.44</v>
      </c>
      <c r="L51" s="5">
        <v>436840.78</v>
      </c>
      <c r="M51" s="5">
        <v>265619.38</v>
      </c>
      <c r="N51" s="5">
        <v>161886.13</v>
      </c>
      <c r="O51" s="16">
        <v>2398279.4900000002</v>
      </c>
      <c r="P51" s="17">
        <v>199856.62416666668</v>
      </c>
      <c r="Q51" s="18" t="s">
        <v>24</v>
      </c>
    </row>
    <row r="52" spans="2:17" ht="13.35" customHeight="1" x14ac:dyDescent="0.2">
      <c r="B52" s="15" t="s">
        <v>20</v>
      </c>
      <c r="C52" s="5">
        <v>28000</v>
      </c>
      <c r="D52" s="5">
        <v>91657.47</v>
      </c>
      <c r="E52" s="5">
        <v>9267.8000000000011</v>
      </c>
      <c r="F52" s="5">
        <v>26975.760000000002</v>
      </c>
      <c r="G52" s="5">
        <v>31966.91</v>
      </c>
      <c r="H52" s="5">
        <v>33016.25</v>
      </c>
      <c r="I52" s="5">
        <v>70366.95</v>
      </c>
      <c r="J52" s="5">
        <v>43192.07</v>
      </c>
      <c r="K52" s="5">
        <v>42532.959999999999</v>
      </c>
      <c r="L52" s="5">
        <v>69665.88</v>
      </c>
      <c r="M52" s="5">
        <v>52498.89</v>
      </c>
      <c r="N52" s="5">
        <v>52266.710000000006</v>
      </c>
      <c r="O52" s="16">
        <v>551407.65</v>
      </c>
      <c r="P52" s="17">
        <v>45950.637500000004</v>
      </c>
      <c r="Q52" s="18" t="s">
        <v>24</v>
      </c>
    </row>
    <row r="53" spans="2:17" ht="13.35" customHeight="1" thickBot="1" x14ac:dyDescent="0.25">
      <c r="B53" s="20" t="s">
        <v>36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3720</v>
      </c>
      <c r="I53" s="7">
        <v>3000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21">
        <v>6720</v>
      </c>
      <c r="P53" s="22">
        <v>560</v>
      </c>
      <c r="Q53" s="23" t="s">
        <v>26</v>
      </c>
    </row>
    <row r="54" spans="2:17" ht="13.35" customHeight="1" thickBot="1" x14ac:dyDescent="0.25">
      <c r="B54" s="24" t="s">
        <v>22</v>
      </c>
      <c r="C54" s="8">
        <v>2160275.17</v>
      </c>
      <c r="D54" s="8">
        <v>1729170.56</v>
      </c>
      <c r="E54" s="8">
        <v>1408118.1800000002</v>
      </c>
      <c r="F54" s="8">
        <v>2194304.09</v>
      </c>
      <c r="G54" s="8">
        <v>2650378.8100000005</v>
      </c>
      <c r="H54" s="8">
        <v>2209415.4800000004</v>
      </c>
      <c r="I54" s="8">
        <v>2332555.9100000006</v>
      </c>
      <c r="J54" s="8">
        <v>2180870.0699999998</v>
      </c>
      <c r="K54" s="8">
        <v>2274247.44</v>
      </c>
      <c r="L54" s="8">
        <v>2588760.7199999993</v>
      </c>
      <c r="M54" s="8">
        <v>2581281.1</v>
      </c>
      <c r="N54" s="8">
        <v>3002777.1399999997</v>
      </c>
      <c r="O54" s="25">
        <v>27312154.669999998</v>
      </c>
      <c r="P54" s="26">
        <v>2276012.8891666667</v>
      </c>
      <c r="Q54" s="27"/>
    </row>
    <row r="55" spans="2:17" ht="13.35" customHeight="1" thickBot="1" x14ac:dyDescent="0.25"/>
    <row r="56" spans="2:17" ht="13.5" thickBot="1" x14ac:dyDescent="0.25">
      <c r="B56" s="67" t="s">
        <v>38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9"/>
    </row>
    <row r="57" spans="2:17" ht="13.5" thickBot="1" x14ac:dyDescent="0.25">
      <c r="B57" s="9" t="s">
        <v>21</v>
      </c>
      <c r="C57" s="10">
        <v>44562</v>
      </c>
      <c r="D57" s="3">
        <v>44593</v>
      </c>
      <c r="E57" s="3">
        <v>44621</v>
      </c>
      <c r="F57" s="3">
        <v>44652</v>
      </c>
      <c r="G57" s="3">
        <v>44682</v>
      </c>
      <c r="H57" s="3">
        <v>44713</v>
      </c>
      <c r="I57" s="3">
        <v>44743</v>
      </c>
      <c r="J57" s="3">
        <v>44774</v>
      </c>
      <c r="K57" s="3">
        <v>44805</v>
      </c>
      <c r="L57" s="3">
        <v>44835</v>
      </c>
      <c r="M57" s="3">
        <v>44866</v>
      </c>
      <c r="N57" s="3">
        <v>44896</v>
      </c>
      <c r="O57" s="11" t="s">
        <v>39</v>
      </c>
      <c r="P57" s="12" t="s">
        <v>40</v>
      </c>
      <c r="Q57" s="13" t="s">
        <v>23</v>
      </c>
    </row>
    <row r="58" spans="2:17" ht="13.35" customHeight="1" x14ac:dyDescent="0.2">
      <c r="B58" s="14" t="s">
        <v>33</v>
      </c>
      <c r="C58" s="4">
        <v>299697.42</v>
      </c>
      <c r="D58" s="4">
        <v>229429</v>
      </c>
      <c r="E58" s="4">
        <v>260256</v>
      </c>
      <c r="F58" s="4">
        <v>334495.88</v>
      </c>
      <c r="G58" s="4">
        <v>585564.44999999995</v>
      </c>
      <c r="H58" s="4">
        <v>336054.91</v>
      </c>
      <c r="I58" s="4">
        <v>283578</v>
      </c>
      <c r="J58" s="4">
        <v>417853.79000000004</v>
      </c>
      <c r="K58" s="4">
        <v>580524.58000000007</v>
      </c>
      <c r="L58" s="4">
        <v>314514.90999999997</v>
      </c>
      <c r="M58" s="4">
        <v>278534.31</v>
      </c>
      <c r="N58" s="4">
        <v>393244</v>
      </c>
      <c r="O58" s="4">
        <v>4313747.25</v>
      </c>
      <c r="P58" s="4">
        <v>359478.9375</v>
      </c>
      <c r="Q58" s="4" t="s">
        <v>25</v>
      </c>
    </row>
    <row r="59" spans="2:17" ht="12.75" customHeight="1" x14ac:dyDescent="0.2">
      <c r="B59" s="15" t="s">
        <v>0</v>
      </c>
      <c r="C59" s="5">
        <v>119404.42</v>
      </c>
      <c r="D59" s="5">
        <v>104769</v>
      </c>
      <c r="E59" s="5">
        <v>149182</v>
      </c>
      <c r="F59" s="5">
        <v>225934.36</v>
      </c>
      <c r="G59" s="5">
        <v>407829.45</v>
      </c>
      <c r="H59" s="5">
        <v>198778</v>
      </c>
      <c r="I59" s="5">
        <v>168193</v>
      </c>
      <c r="J59" s="5">
        <v>203932.28</v>
      </c>
      <c r="K59" s="5">
        <v>357982.58</v>
      </c>
      <c r="L59" s="5">
        <v>173097.5</v>
      </c>
      <c r="M59" s="5">
        <v>153109</v>
      </c>
      <c r="N59" s="5">
        <v>284207.5</v>
      </c>
      <c r="O59" s="16">
        <v>2546419.09</v>
      </c>
      <c r="P59" s="17">
        <v>212201.59083333332</v>
      </c>
      <c r="Q59" s="18" t="s">
        <v>25</v>
      </c>
    </row>
    <row r="60" spans="2:17" ht="13.35" customHeight="1" x14ac:dyDescent="0.2">
      <c r="B60" s="15" t="s">
        <v>1</v>
      </c>
      <c r="C60" s="5">
        <v>84680</v>
      </c>
      <c r="D60" s="5">
        <v>100000</v>
      </c>
      <c r="E60" s="5">
        <v>85060</v>
      </c>
      <c r="F60" s="5">
        <v>92210</v>
      </c>
      <c r="G60" s="5">
        <v>131460</v>
      </c>
      <c r="H60" s="5">
        <v>117260</v>
      </c>
      <c r="I60" s="5">
        <v>114960</v>
      </c>
      <c r="J60" s="5">
        <v>144250</v>
      </c>
      <c r="K60" s="5">
        <v>152630</v>
      </c>
      <c r="L60" s="5">
        <v>89240</v>
      </c>
      <c r="M60" s="5">
        <v>123010</v>
      </c>
      <c r="N60" s="5">
        <v>60000</v>
      </c>
      <c r="O60" s="16">
        <v>1294760</v>
      </c>
      <c r="P60" s="17">
        <v>107896.66666666667</v>
      </c>
      <c r="Q60" s="18" t="s">
        <v>24</v>
      </c>
    </row>
    <row r="61" spans="2:17" ht="13.35" customHeight="1" x14ac:dyDescent="0.2">
      <c r="B61" s="15" t="s">
        <v>2</v>
      </c>
      <c r="C61" s="5">
        <v>95613</v>
      </c>
      <c r="D61" s="5">
        <v>24660</v>
      </c>
      <c r="E61" s="5">
        <v>26014</v>
      </c>
      <c r="F61" s="5">
        <v>16351.52</v>
      </c>
      <c r="G61" s="5">
        <v>46275</v>
      </c>
      <c r="H61" s="5">
        <v>20016.910000000003</v>
      </c>
      <c r="I61" s="5">
        <v>425</v>
      </c>
      <c r="J61" s="5">
        <v>69671.509999999995</v>
      </c>
      <c r="K61" s="5">
        <v>69912</v>
      </c>
      <c r="L61" s="5">
        <v>52177.41</v>
      </c>
      <c r="M61" s="5">
        <v>2415.31</v>
      </c>
      <c r="N61" s="5">
        <v>49036.5</v>
      </c>
      <c r="O61" s="16">
        <v>472568.16000000003</v>
      </c>
      <c r="P61" s="17">
        <v>39380.68</v>
      </c>
      <c r="Q61" s="18" t="s">
        <v>25</v>
      </c>
    </row>
    <row r="62" spans="2:17" ht="13.35" customHeight="1" x14ac:dyDescent="0.2">
      <c r="B62" s="15" t="s">
        <v>3</v>
      </c>
      <c r="C62" s="5">
        <v>122475.92</v>
      </c>
      <c r="D62" s="5">
        <v>37303.519999999997</v>
      </c>
      <c r="E62" s="5">
        <v>65005.299999999996</v>
      </c>
      <c r="F62" s="5">
        <v>77835.63</v>
      </c>
      <c r="G62" s="5">
        <v>80904.38</v>
      </c>
      <c r="H62" s="5">
        <v>100703.29</v>
      </c>
      <c r="I62" s="5">
        <v>72106.259999999995</v>
      </c>
      <c r="J62" s="5">
        <v>78132.850000000006</v>
      </c>
      <c r="K62" s="5">
        <v>83185.8</v>
      </c>
      <c r="L62" s="5">
        <v>68689.38</v>
      </c>
      <c r="M62" s="5">
        <v>60297.96</v>
      </c>
      <c r="N62" s="5">
        <v>72138.960000000006</v>
      </c>
      <c r="O62" s="16">
        <v>918779.24999999988</v>
      </c>
      <c r="P62" s="17">
        <v>76564.9375</v>
      </c>
      <c r="Q62" s="18" t="s">
        <v>25</v>
      </c>
    </row>
    <row r="63" spans="2:17" ht="12.75" customHeight="1" x14ac:dyDescent="0.2">
      <c r="B63" s="15" t="s">
        <v>4</v>
      </c>
      <c r="C63" s="5">
        <v>400664.70999999996</v>
      </c>
      <c r="D63" s="5">
        <v>10818.86</v>
      </c>
      <c r="E63" s="5">
        <v>291801.98999999993</v>
      </c>
      <c r="F63" s="5">
        <v>623142.65999999992</v>
      </c>
      <c r="G63" s="5">
        <v>233799.16999999998</v>
      </c>
      <c r="H63" s="5">
        <v>246816.66999999998</v>
      </c>
      <c r="I63" s="5">
        <v>176278.92</v>
      </c>
      <c r="J63" s="5">
        <v>85360.930000000008</v>
      </c>
      <c r="K63" s="5">
        <v>204498.04</v>
      </c>
      <c r="L63" s="5">
        <v>220043.41</v>
      </c>
      <c r="M63" s="5">
        <v>278281.34999999998</v>
      </c>
      <c r="N63" s="5">
        <v>289484.18</v>
      </c>
      <c r="O63" s="16">
        <v>3007156.6500000004</v>
      </c>
      <c r="P63" s="17">
        <v>250596.38750000001</v>
      </c>
      <c r="Q63" s="18" t="s">
        <v>25</v>
      </c>
    </row>
    <row r="64" spans="2:17" ht="13.35" customHeight="1" x14ac:dyDescent="0.2">
      <c r="B64" s="15" t="s">
        <v>6</v>
      </c>
      <c r="C64" s="5">
        <v>32155.68</v>
      </c>
      <c r="D64" s="5">
        <v>193132.92999999996</v>
      </c>
      <c r="E64" s="5">
        <v>145127</v>
      </c>
      <c r="F64" s="5">
        <v>93131.54</v>
      </c>
      <c r="G64" s="5">
        <v>209949</v>
      </c>
      <c r="H64" s="5">
        <v>273464.21999999997</v>
      </c>
      <c r="I64" s="5">
        <v>170900.22</v>
      </c>
      <c r="J64" s="5">
        <v>185875.16</v>
      </c>
      <c r="K64" s="5">
        <v>273991.37</v>
      </c>
      <c r="L64" s="5">
        <v>324881.37</v>
      </c>
      <c r="M64" s="5">
        <v>317686.37</v>
      </c>
      <c r="N64" s="5">
        <v>303791</v>
      </c>
      <c r="O64" s="16">
        <v>2524085.86</v>
      </c>
      <c r="P64" s="17">
        <v>210340.48833333331</v>
      </c>
      <c r="Q64" s="18" t="s">
        <v>24</v>
      </c>
    </row>
    <row r="65" spans="2:17" ht="13.35" customHeight="1" x14ac:dyDescent="0.2">
      <c r="B65" s="15" t="s">
        <v>7</v>
      </c>
      <c r="C65" s="5">
        <v>13800</v>
      </c>
      <c r="D65" s="5">
        <v>15120</v>
      </c>
      <c r="E65" s="5">
        <v>23600</v>
      </c>
      <c r="F65" s="5">
        <v>5574</v>
      </c>
      <c r="G65" s="5">
        <v>29190</v>
      </c>
      <c r="H65" s="5">
        <v>21944</v>
      </c>
      <c r="I65" s="5">
        <v>6432</v>
      </c>
      <c r="J65" s="5">
        <v>25520</v>
      </c>
      <c r="K65" s="5">
        <v>18960</v>
      </c>
      <c r="L65" s="5">
        <v>20120</v>
      </c>
      <c r="M65" s="5">
        <v>28360</v>
      </c>
      <c r="N65" s="5">
        <v>21720</v>
      </c>
      <c r="O65" s="16">
        <v>230340</v>
      </c>
      <c r="P65" s="17">
        <v>19195</v>
      </c>
      <c r="Q65" s="18" t="s">
        <v>24</v>
      </c>
    </row>
    <row r="66" spans="2:17" ht="12.75" customHeight="1" x14ac:dyDescent="0.2">
      <c r="B66" s="15" t="s">
        <v>17</v>
      </c>
      <c r="C66" s="5">
        <v>143772.42000000001</v>
      </c>
      <c r="D66" s="5">
        <v>132626.14000000001</v>
      </c>
      <c r="E66" s="5">
        <v>131903.74</v>
      </c>
      <c r="F66" s="5">
        <v>83707.92</v>
      </c>
      <c r="G66" s="5">
        <v>168270.66</v>
      </c>
      <c r="H66" s="5">
        <v>264581.7</v>
      </c>
      <c r="I66" s="5">
        <v>211672.84</v>
      </c>
      <c r="J66" s="5">
        <v>242756.47999999998</v>
      </c>
      <c r="K66" s="5">
        <v>193768.71000000002</v>
      </c>
      <c r="L66" s="5">
        <v>181998.54</v>
      </c>
      <c r="M66" s="5">
        <v>167794.84000000003</v>
      </c>
      <c r="N66" s="5">
        <v>197131.27</v>
      </c>
      <c r="O66" s="16">
        <v>2119985.2599999998</v>
      </c>
      <c r="P66" s="17">
        <v>176665.43833333332</v>
      </c>
      <c r="Q66" s="18" t="s">
        <v>25</v>
      </c>
    </row>
    <row r="67" spans="2:17" ht="13.35" customHeight="1" x14ac:dyDescent="0.2">
      <c r="B67" s="15" t="s">
        <v>8</v>
      </c>
      <c r="C67" s="5">
        <v>178824.95</v>
      </c>
      <c r="D67" s="5">
        <v>0</v>
      </c>
      <c r="E67" s="5">
        <v>156812.13</v>
      </c>
      <c r="F67" s="5">
        <v>433158.49</v>
      </c>
      <c r="G67" s="5">
        <v>205610.78</v>
      </c>
      <c r="H67" s="5">
        <v>248010.23</v>
      </c>
      <c r="I67" s="5">
        <v>161263.64000000001</v>
      </c>
      <c r="J67" s="5">
        <v>120963.82</v>
      </c>
      <c r="K67" s="5">
        <v>189124.05</v>
      </c>
      <c r="L67" s="5">
        <v>200563.13</v>
      </c>
      <c r="M67" s="5">
        <v>206265.47</v>
      </c>
      <c r="N67" s="5">
        <v>254548.87</v>
      </c>
      <c r="O67" s="16">
        <v>2355145.5600000005</v>
      </c>
      <c r="P67" s="17">
        <v>196262.13000000003</v>
      </c>
      <c r="Q67" s="18" t="s">
        <v>25</v>
      </c>
    </row>
    <row r="68" spans="2:17" ht="13.35" customHeight="1" x14ac:dyDescent="0.2">
      <c r="B68" s="15" t="s">
        <v>10</v>
      </c>
      <c r="C68" s="5">
        <v>20043.47</v>
      </c>
      <c r="D68" s="5">
        <v>27286.68</v>
      </c>
      <c r="E68" s="5">
        <v>42382.15</v>
      </c>
      <c r="F68" s="5">
        <v>0</v>
      </c>
      <c r="G68" s="5">
        <v>26611.31</v>
      </c>
      <c r="H68" s="5">
        <v>31361.03</v>
      </c>
      <c r="I68" s="5">
        <v>81135.14</v>
      </c>
      <c r="J68" s="5">
        <v>31151.74</v>
      </c>
      <c r="K68" s="5">
        <v>0</v>
      </c>
      <c r="L68" s="5">
        <v>76960.160000000003</v>
      </c>
      <c r="M68" s="5">
        <v>45663.35</v>
      </c>
      <c r="N68" s="5">
        <v>51508.47</v>
      </c>
      <c r="O68" s="16">
        <v>434103.50000000006</v>
      </c>
      <c r="P68" s="17">
        <v>36175.291666666672</v>
      </c>
      <c r="Q68" s="18" t="s">
        <v>25</v>
      </c>
    </row>
    <row r="69" spans="2:17" ht="13.35" customHeight="1" x14ac:dyDescent="0.2">
      <c r="B69" s="15" t="s">
        <v>11</v>
      </c>
      <c r="C69" s="5">
        <v>140693.96</v>
      </c>
      <c r="D69" s="5">
        <v>141616.74000000002</v>
      </c>
      <c r="E69" s="5">
        <v>143388</v>
      </c>
      <c r="F69" s="5">
        <v>166908.29</v>
      </c>
      <c r="G69" s="5">
        <v>170141.4</v>
      </c>
      <c r="H69" s="5">
        <v>206969.79</v>
      </c>
      <c r="I69" s="5">
        <v>207931.08</v>
      </c>
      <c r="J69" s="5">
        <v>226024.83999999997</v>
      </c>
      <c r="K69" s="5">
        <v>207148.23</v>
      </c>
      <c r="L69" s="5">
        <v>210511.73</v>
      </c>
      <c r="M69" s="5">
        <v>280775.06</v>
      </c>
      <c r="N69" s="5">
        <v>203226.94</v>
      </c>
      <c r="O69" s="16">
        <v>2305336.06</v>
      </c>
      <c r="P69" s="17">
        <v>192111.33833333335</v>
      </c>
      <c r="Q69" s="18" t="s">
        <v>24</v>
      </c>
    </row>
    <row r="70" spans="2:17" ht="13.35" customHeight="1" x14ac:dyDescent="0.2">
      <c r="B70" s="15" t="s">
        <v>12</v>
      </c>
      <c r="C70" s="5">
        <v>20455.400000000001</v>
      </c>
      <c r="D70" s="5">
        <v>58606.38</v>
      </c>
      <c r="E70" s="5">
        <v>26664.84</v>
      </c>
      <c r="F70" s="5">
        <v>0</v>
      </c>
      <c r="G70" s="5">
        <v>26733.58</v>
      </c>
      <c r="H70" s="5">
        <v>30141.16</v>
      </c>
      <c r="I70" s="5">
        <v>2947.12</v>
      </c>
      <c r="J70" s="5">
        <v>2310.16</v>
      </c>
      <c r="K70" s="5">
        <v>1885.52</v>
      </c>
      <c r="L70" s="5">
        <v>0</v>
      </c>
      <c r="M70" s="5">
        <v>2550.1999999999998</v>
      </c>
      <c r="N70" s="5">
        <v>859.1</v>
      </c>
      <c r="O70" s="16">
        <v>173153.46000000002</v>
      </c>
      <c r="P70" s="17">
        <v>14429.455000000002</v>
      </c>
      <c r="Q70" s="18" t="s">
        <v>24</v>
      </c>
    </row>
    <row r="71" spans="2:17" ht="13.35" customHeight="1" x14ac:dyDescent="0.2">
      <c r="B71" s="15" t="s">
        <v>13</v>
      </c>
      <c r="C71" s="5">
        <v>37740</v>
      </c>
      <c r="D71" s="5">
        <v>0</v>
      </c>
      <c r="E71" s="5">
        <v>50980</v>
      </c>
      <c r="F71" s="5">
        <v>46345</v>
      </c>
      <c r="G71" s="5">
        <v>27005</v>
      </c>
      <c r="H71" s="5">
        <v>37640</v>
      </c>
      <c r="I71" s="5">
        <v>78061.45</v>
      </c>
      <c r="J71" s="5">
        <v>68625</v>
      </c>
      <c r="K71" s="5">
        <v>73260.77</v>
      </c>
      <c r="L71" s="5">
        <v>76043.44</v>
      </c>
      <c r="M71" s="5">
        <v>45367.199999999997</v>
      </c>
      <c r="N71" s="5">
        <v>41900</v>
      </c>
      <c r="O71" s="16">
        <v>582967.86</v>
      </c>
      <c r="P71" s="17">
        <v>48580.654999999999</v>
      </c>
      <c r="Q71" s="18" t="s">
        <v>24</v>
      </c>
    </row>
    <row r="72" spans="2:17" ht="13.35" customHeight="1" x14ac:dyDescent="0.2">
      <c r="B72" s="15" t="s">
        <v>14</v>
      </c>
      <c r="C72" s="5">
        <v>48294.38</v>
      </c>
      <c r="D72" s="5">
        <v>217275</v>
      </c>
      <c r="E72" s="5">
        <v>166785</v>
      </c>
      <c r="F72" s="5">
        <v>52208.83</v>
      </c>
      <c r="G72" s="5">
        <v>320099.11000000004</v>
      </c>
      <c r="H72" s="5">
        <v>142920.69999999998</v>
      </c>
      <c r="I72" s="5">
        <v>161291.67000000001</v>
      </c>
      <c r="J72" s="5">
        <v>36292.1</v>
      </c>
      <c r="K72" s="5">
        <v>130859.67</v>
      </c>
      <c r="L72" s="5">
        <v>222852.35</v>
      </c>
      <c r="M72" s="5">
        <v>137325</v>
      </c>
      <c r="N72" s="5">
        <v>253865</v>
      </c>
      <c r="O72" s="16">
        <v>1890068.81</v>
      </c>
      <c r="P72" s="17">
        <v>157505.73416666666</v>
      </c>
      <c r="Q72" s="18" t="s">
        <v>25</v>
      </c>
    </row>
    <row r="73" spans="2:17" ht="13.35" customHeight="1" x14ac:dyDescent="0.2">
      <c r="B73" s="15" t="s">
        <v>15</v>
      </c>
      <c r="C73" s="5">
        <v>35045.94</v>
      </c>
      <c r="D73" s="5">
        <v>19861.98</v>
      </c>
      <c r="E73" s="5">
        <v>5027.03</v>
      </c>
      <c r="F73" s="5">
        <v>11729.75</v>
      </c>
      <c r="G73" s="5">
        <v>1764.16</v>
      </c>
      <c r="H73" s="5">
        <v>33183.040000000001</v>
      </c>
      <c r="I73" s="5">
        <v>50833.4</v>
      </c>
      <c r="J73" s="5">
        <v>34612.14</v>
      </c>
      <c r="K73" s="5">
        <v>16960.14</v>
      </c>
      <c r="L73" s="5">
        <v>0</v>
      </c>
      <c r="M73" s="5">
        <v>0</v>
      </c>
      <c r="N73" s="5">
        <v>16899.3</v>
      </c>
      <c r="O73" s="16">
        <v>225916.88</v>
      </c>
      <c r="P73" s="17">
        <v>18826.406666666666</v>
      </c>
      <c r="Q73" s="18" t="s">
        <v>25</v>
      </c>
    </row>
    <row r="74" spans="2:17" ht="13.35" customHeight="1" x14ac:dyDescent="0.2">
      <c r="B74" s="15" t="s">
        <v>16</v>
      </c>
      <c r="C74" s="5">
        <v>3150</v>
      </c>
      <c r="D74" s="5">
        <v>4400</v>
      </c>
      <c r="E74" s="5">
        <v>6250</v>
      </c>
      <c r="F74" s="5">
        <v>7385</v>
      </c>
      <c r="G74" s="5">
        <v>3770</v>
      </c>
      <c r="H74" s="5">
        <v>4030</v>
      </c>
      <c r="I74" s="5">
        <v>850</v>
      </c>
      <c r="J74" s="5">
        <v>5030</v>
      </c>
      <c r="K74" s="5">
        <v>5390</v>
      </c>
      <c r="L74" s="5">
        <v>3200</v>
      </c>
      <c r="M74" s="5">
        <v>3150</v>
      </c>
      <c r="N74" s="5">
        <v>7700</v>
      </c>
      <c r="O74" s="16">
        <v>54305</v>
      </c>
      <c r="P74" s="17">
        <v>4525.416666666667</v>
      </c>
      <c r="Q74" s="18" t="s">
        <v>25</v>
      </c>
    </row>
    <row r="75" spans="2:17" ht="13.35" customHeight="1" x14ac:dyDescent="0.2">
      <c r="B75" s="19" t="s">
        <v>18</v>
      </c>
      <c r="C75" s="6">
        <v>532513.9</v>
      </c>
      <c r="D75" s="6">
        <v>213478</v>
      </c>
      <c r="E75" s="6">
        <v>372431.11</v>
      </c>
      <c r="F75" s="6">
        <v>390764.76999999996</v>
      </c>
      <c r="G75" s="6">
        <v>606684.98</v>
      </c>
      <c r="H75" s="6">
        <v>188748.54</v>
      </c>
      <c r="I75" s="6">
        <v>585800</v>
      </c>
      <c r="J75" s="6">
        <v>183438.46</v>
      </c>
      <c r="K75" s="6">
        <v>380369.91999999998</v>
      </c>
      <c r="L75" s="6">
        <v>572751.28</v>
      </c>
      <c r="M75" s="6">
        <v>421805.03</v>
      </c>
      <c r="N75" s="6">
        <v>396116.43000000005</v>
      </c>
      <c r="O75" s="6">
        <v>4844902.419999999</v>
      </c>
      <c r="P75" s="6">
        <v>403741.86833333323</v>
      </c>
      <c r="Q75" s="6" t="s">
        <v>24</v>
      </c>
    </row>
    <row r="76" spans="2:17" ht="13.35" customHeight="1" x14ac:dyDescent="0.2">
      <c r="B76" s="15" t="s">
        <v>34</v>
      </c>
      <c r="C76" s="5">
        <v>210000</v>
      </c>
      <c r="D76" s="5">
        <v>213478</v>
      </c>
      <c r="E76" s="5">
        <v>210000</v>
      </c>
      <c r="F76" s="5">
        <v>215674.48</v>
      </c>
      <c r="G76" s="5">
        <v>424905.26</v>
      </c>
      <c r="H76" s="5">
        <v>330</v>
      </c>
      <c r="I76" s="5">
        <v>420300</v>
      </c>
      <c r="J76" s="5">
        <v>270</v>
      </c>
      <c r="K76" s="5">
        <v>210300</v>
      </c>
      <c r="L76" s="5">
        <v>210210</v>
      </c>
      <c r="M76" s="5">
        <v>211260</v>
      </c>
      <c r="N76" s="5">
        <v>212684.54</v>
      </c>
      <c r="O76" s="16">
        <v>2539412.2799999998</v>
      </c>
      <c r="P76" s="17">
        <v>211617.69</v>
      </c>
      <c r="Q76" s="18" t="s">
        <v>25</v>
      </c>
    </row>
    <row r="77" spans="2:17" ht="12.75" customHeight="1" x14ac:dyDescent="0.2">
      <c r="B77" s="15" t="s">
        <v>35</v>
      </c>
      <c r="C77" s="5">
        <v>322513.90000000002</v>
      </c>
      <c r="D77" s="5">
        <v>0</v>
      </c>
      <c r="E77" s="5">
        <v>162431.10999999999</v>
      </c>
      <c r="F77" s="5">
        <v>175090.29</v>
      </c>
      <c r="G77" s="5">
        <v>181779.72</v>
      </c>
      <c r="H77" s="5">
        <v>188418.54</v>
      </c>
      <c r="I77" s="5">
        <v>165500</v>
      </c>
      <c r="J77" s="5">
        <v>183168.46</v>
      </c>
      <c r="K77" s="5">
        <v>170069.92</v>
      </c>
      <c r="L77" s="5">
        <v>362541.28</v>
      </c>
      <c r="M77" s="5">
        <v>210545.03</v>
      </c>
      <c r="N77" s="5">
        <v>183431.89</v>
      </c>
      <c r="O77" s="16">
        <v>2305490.14</v>
      </c>
      <c r="P77" s="17">
        <v>192124.17833333334</v>
      </c>
      <c r="Q77" s="18" t="s">
        <v>24</v>
      </c>
    </row>
    <row r="78" spans="2:17" ht="13.35" customHeight="1" x14ac:dyDescent="0.2">
      <c r="B78" s="15" t="s">
        <v>19</v>
      </c>
      <c r="C78" s="5">
        <v>144563.53</v>
      </c>
      <c r="D78" s="5">
        <v>131700</v>
      </c>
      <c r="E78" s="5">
        <v>79925</v>
      </c>
      <c r="F78" s="5">
        <v>239733.43</v>
      </c>
      <c r="G78" s="5">
        <v>280835.82</v>
      </c>
      <c r="H78" s="5">
        <v>216465</v>
      </c>
      <c r="I78" s="5">
        <v>224154.38</v>
      </c>
      <c r="J78" s="5">
        <v>366013.35</v>
      </c>
      <c r="K78" s="5">
        <v>165330</v>
      </c>
      <c r="L78" s="5">
        <v>164175</v>
      </c>
      <c r="M78" s="5">
        <v>71851.850000000006</v>
      </c>
      <c r="N78" s="5">
        <v>144658.87</v>
      </c>
      <c r="O78" s="16">
        <v>2229406.23</v>
      </c>
      <c r="P78" s="17">
        <v>185783.85250000001</v>
      </c>
      <c r="Q78" s="18" t="s">
        <v>25</v>
      </c>
    </row>
    <row r="79" spans="2:17" ht="13.35" customHeight="1" x14ac:dyDescent="0.2">
      <c r="B79" s="15" t="s">
        <v>45</v>
      </c>
      <c r="C79" s="5">
        <v>60516.95</v>
      </c>
      <c r="D79" s="5">
        <v>0</v>
      </c>
      <c r="E79" s="5">
        <v>29815.899999999998</v>
      </c>
      <c r="F79" s="5">
        <v>92409.79</v>
      </c>
      <c r="G79" s="5">
        <v>29645.95</v>
      </c>
      <c r="H79" s="5">
        <v>81867.08</v>
      </c>
      <c r="I79" s="5">
        <v>26145.940000000002</v>
      </c>
      <c r="J79" s="5">
        <v>94899.23</v>
      </c>
      <c r="K79" s="5">
        <v>31613.230000000003</v>
      </c>
      <c r="L79" s="5">
        <v>50392.74</v>
      </c>
      <c r="M79" s="5">
        <v>70174.55</v>
      </c>
      <c r="N79" s="5">
        <v>43992.25</v>
      </c>
      <c r="O79" s="16">
        <v>665307.85</v>
      </c>
      <c r="P79" s="17">
        <v>55442.320833333331</v>
      </c>
      <c r="Q79" s="18" t="s">
        <v>24</v>
      </c>
    </row>
    <row r="80" spans="2:17" ht="13.35" customHeight="1" thickBot="1" x14ac:dyDescent="0.25">
      <c r="B80" s="20" t="s">
        <v>36</v>
      </c>
      <c r="C80" s="7">
        <v>2366.7199999999998</v>
      </c>
      <c r="D80" s="7">
        <v>0</v>
      </c>
      <c r="E80" s="7">
        <v>13203.74</v>
      </c>
      <c r="F80" s="7">
        <v>500</v>
      </c>
      <c r="G80" s="7">
        <v>0</v>
      </c>
      <c r="H80" s="7">
        <v>0</v>
      </c>
      <c r="I80" s="7">
        <v>0</v>
      </c>
      <c r="J80" s="7">
        <v>0</v>
      </c>
      <c r="K80" s="7">
        <v>26</v>
      </c>
      <c r="L80" s="7">
        <v>0</v>
      </c>
      <c r="M80" s="7">
        <v>0</v>
      </c>
      <c r="N80" s="7">
        <v>0</v>
      </c>
      <c r="O80" s="21">
        <v>16096.46</v>
      </c>
      <c r="P80" s="22">
        <v>1341.3716666666667</v>
      </c>
      <c r="Q80" s="23" t="s">
        <v>26</v>
      </c>
    </row>
    <row r="81" spans="2:17" ht="13.5" thickBot="1" x14ac:dyDescent="0.25">
      <c r="B81" s="24" t="s">
        <v>22</v>
      </c>
      <c r="C81" s="8">
        <v>2236775.35</v>
      </c>
      <c r="D81" s="8">
        <v>1432655.23</v>
      </c>
      <c r="E81" s="8">
        <v>2011358.9300000002</v>
      </c>
      <c r="F81" s="8">
        <v>2659030.98</v>
      </c>
      <c r="G81" s="8">
        <v>3006579.7500000005</v>
      </c>
      <c r="H81" s="8">
        <v>2464901.36</v>
      </c>
      <c r="I81" s="8">
        <v>2501382.0599999996</v>
      </c>
      <c r="J81" s="8">
        <v>2204860.0499999998</v>
      </c>
      <c r="K81" s="8">
        <v>2556896.0299999998</v>
      </c>
      <c r="L81" s="8">
        <v>2707697.4400000004</v>
      </c>
      <c r="M81" s="8">
        <v>2415882.54</v>
      </c>
      <c r="N81" s="8">
        <v>2692784.6400000006</v>
      </c>
      <c r="O81" s="25">
        <v>28890804.360000003</v>
      </c>
      <c r="P81" s="26">
        <v>2407567.0300000003</v>
      </c>
      <c r="Q81" s="27"/>
    </row>
    <row r="82" spans="2:17" ht="13.35" customHeight="1" thickBot="1" x14ac:dyDescent="0.25"/>
    <row r="83" spans="2:17" ht="13.35" customHeight="1" thickBot="1" x14ac:dyDescent="0.25">
      <c r="B83" s="67" t="s">
        <v>41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9"/>
    </row>
    <row r="84" spans="2:17" ht="13.35" customHeight="1" thickBot="1" x14ac:dyDescent="0.25">
      <c r="B84" s="28" t="s">
        <v>21</v>
      </c>
      <c r="C84" s="3">
        <v>44927</v>
      </c>
      <c r="D84" s="3">
        <v>44958</v>
      </c>
      <c r="E84" s="3">
        <v>44986</v>
      </c>
      <c r="F84" s="3">
        <v>45017</v>
      </c>
      <c r="G84" s="3">
        <v>45047</v>
      </c>
      <c r="H84" s="3">
        <v>45078</v>
      </c>
      <c r="I84" s="3">
        <v>45108</v>
      </c>
      <c r="J84" s="3">
        <v>45139</v>
      </c>
      <c r="K84" s="3">
        <v>45170</v>
      </c>
      <c r="L84" s="3">
        <v>45200</v>
      </c>
      <c r="M84" s="3">
        <v>45231</v>
      </c>
      <c r="N84" s="3">
        <v>45261</v>
      </c>
      <c r="O84" s="29" t="s">
        <v>42</v>
      </c>
      <c r="P84" s="30" t="s">
        <v>43</v>
      </c>
      <c r="Q84" s="13" t="s">
        <v>23</v>
      </c>
    </row>
    <row r="85" spans="2:17" ht="13.35" customHeight="1" x14ac:dyDescent="0.2">
      <c r="B85" s="14" t="s">
        <v>33</v>
      </c>
      <c r="C85" s="4">
        <v>307380.83</v>
      </c>
      <c r="D85" s="4">
        <v>207005.03999999998</v>
      </c>
      <c r="E85" s="4">
        <v>264311.82</v>
      </c>
      <c r="F85" s="4">
        <v>493077.28</v>
      </c>
      <c r="G85" s="4">
        <v>260038</v>
      </c>
      <c r="H85" s="4">
        <v>340157.64</v>
      </c>
      <c r="I85" s="4">
        <v>334123.41000000003</v>
      </c>
      <c r="J85" s="4">
        <v>287873.65000000002</v>
      </c>
      <c r="K85" s="4">
        <v>177461.49</v>
      </c>
      <c r="L85" s="4">
        <v>212129.92000000001</v>
      </c>
      <c r="M85" s="4">
        <v>398455.53</v>
      </c>
      <c r="N85" s="4">
        <v>286812.3</v>
      </c>
      <c r="O85" s="4">
        <v>3568826.9099999997</v>
      </c>
      <c r="P85" s="4">
        <v>297402.24250000005</v>
      </c>
      <c r="Q85" s="4" t="s">
        <v>24</v>
      </c>
    </row>
    <row r="86" spans="2:17" ht="13.35" customHeight="1" x14ac:dyDescent="0.2">
      <c r="B86" s="15" t="s">
        <v>0</v>
      </c>
      <c r="C86" s="5">
        <v>182057.5</v>
      </c>
      <c r="D86" s="5">
        <v>88505.04</v>
      </c>
      <c r="E86" s="5">
        <v>175461</v>
      </c>
      <c r="F86" s="5">
        <v>273150.28000000003</v>
      </c>
      <c r="G86" s="5">
        <v>151579.67000000001</v>
      </c>
      <c r="H86" s="5">
        <v>188657.79</v>
      </c>
      <c r="I86" s="5">
        <v>258194.91</v>
      </c>
      <c r="J86" s="5">
        <v>151515.95000000001</v>
      </c>
      <c r="K86" s="5">
        <v>149737.71</v>
      </c>
      <c r="L86" s="5">
        <v>174605.07</v>
      </c>
      <c r="M86" s="5">
        <v>348558.47000000003</v>
      </c>
      <c r="N86" s="5">
        <v>239819.3</v>
      </c>
      <c r="O86" s="16">
        <v>2381842.69</v>
      </c>
      <c r="P86" s="17">
        <v>198486.89083333334</v>
      </c>
      <c r="Q86" s="18" t="s">
        <v>24</v>
      </c>
    </row>
    <row r="87" spans="2:17" ht="13.35" customHeight="1" x14ac:dyDescent="0.2">
      <c r="B87" s="15" t="s">
        <v>1</v>
      </c>
      <c r="C87" s="5">
        <v>101320</v>
      </c>
      <c r="D87" s="5">
        <v>109560</v>
      </c>
      <c r="E87" s="5">
        <v>86870</v>
      </c>
      <c r="F87" s="5">
        <v>116880</v>
      </c>
      <c r="G87" s="5">
        <v>103440</v>
      </c>
      <c r="H87" s="5">
        <v>126980</v>
      </c>
      <c r="I87" s="5">
        <v>37180</v>
      </c>
      <c r="J87" s="5">
        <v>134430</v>
      </c>
      <c r="K87" s="5">
        <v>23260</v>
      </c>
      <c r="L87" s="5">
        <v>19370</v>
      </c>
      <c r="M87" s="5">
        <v>13830</v>
      </c>
      <c r="N87" s="5">
        <v>18390</v>
      </c>
      <c r="O87" s="16">
        <v>891510</v>
      </c>
      <c r="P87" s="17">
        <v>74292.5</v>
      </c>
      <c r="Q87" s="18" t="s">
        <v>25</v>
      </c>
    </row>
    <row r="88" spans="2:17" ht="13.35" customHeight="1" x14ac:dyDescent="0.2">
      <c r="B88" s="15" t="s">
        <v>2</v>
      </c>
      <c r="C88" s="5">
        <v>24003.33</v>
      </c>
      <c r="D88" s="5">
        <v>8940</v>
      </c>
      <c r="E88" s="5">
        <v>1980.82</v>
      </c>
      <c r="F88" s="5">
        <v>103047</v>
      </c>
      <c r="G88" s="5">
        <v>5018.33</v>
      </c>
      <c r="H88" s="5">
        <v>24519.85</v>
      </c>
      <c r="I88" s="5">
        <v>38748.5</v>
      </c>
      <c r="J88" s="5">
        <v>1927.7</v>
      </c>
      <c r="K88" s="5">
        <v>4463.78</v>
      </c>
      <c r="L88" s="5">
        <v>18154.849999999999</v>
      </c>
      <c r="M88" s="5">
        <v>36067.06</v>
      </c>
      <c r="N88" s="5">
        <v>28603</v>
      </c>
      <c r="O88" s="16">
        <v>295474.22000000003</v>
      </c>
      <c r="P88" s="17">
        <v>24622.851666666669</v>
      </c>
      <c r="Q88" s="18" t="s">
        <v>24</v>
      </c>
    </row>
    <row r="89" spans="2:17" ht="13.35" customHeight="1" x14ac:dyDescent="0.2">
      <c r="B89" s="15" t="s">
        <v>3</v>
      </c>
      <c r="C89" s="5">
        <v>69937.34</v>
      </c>
      <c r="D89" s="5">
        <v>52200.7</v>
      </c>
      <c r="E89" s="5">
        <v>69806.36</v>
      </c>
      <c r="F89" s="5">
        <v>66136.95</v>
      </c>
      <c r="G89" s="5">
        <v>91438.26</v>
      </c>
      <c r="H89" s="5">
        <v>68718.42</v>
      </c>
      <c r="I89" s="5">
        <v>84951.47</v>
      </c>
      <c r="J89" s="5">
        <v>85907.73</v>
      </c>
      <c r="K89" s="5">
        <v>81287.8</v>
      </c>
      <c r="L89" s="5">
        <v>83581.179999999993</v>
      </c>
      <c r="M89" s="5">
        <v>78738.429999999993</v>
      </c>
      <c r="N89" s="5">
        <v>76349.570000000007</v>
      </c>
      <c r="O89" s="16">
        <v>909054.21</v>
      </c>
      <c r="P89" s="17">
        <v>75754.517500000002</v>
      </c>
      <c r="Q89" s="18" t="s">
        <v>24</v>
      </c>
    </row>
    <row r="90" spans="2:17" ht="13.35" customHeight="1" x14ac:dyDescent="0.2">
      <c r="B90" s="15" t="s">
        <v>4</v>
      </c>
      <c r="C90" s="5">
        <v>378484.79</v>
      </c>
      <c r="D90" s="5">
        <v>226017.37000000002</v>
      </c>
      <c r="E90" s="5">
        <v>436904.98000000004</v>
      </c>
      <c r="F90" s="5">
        <v>617161.55999999994</v>
      </c>
      <c r="G90" s="5">
        <v>555253.25</v>
      </c>
      <c r="H90" s="5">
        <v>567674.58000000007</v>
      </c>
      <c r="I90" s="5">
        <v>655500.62</v>
      </c>
      <c r="J90" s="5">
        <v>888561.16</v>
      </c>
      <c r="K90" s="5">
        <v>626197.3899999999</v>
      </c>
      <c r="L90" s="5">
        <v>581812.52999999991</v>
      </c>
      <c r="M90" s="5">
        <v>722634.32</v>
      </c>
      <c r="N90" s="5">
        <v>652725.23</v>
      </c>
      <c r="O90" s="16">
        <v>6908927.7800000003</v>
      </c>
      <c r="P90" s="17">
        <v>575743.98166666669</v>
      </c>
      <c r="Q90" s="18" t="s">
        <v>24</v>
      </c>
    </row>
    <row r="91" spans="2:17" ht="13.35" customHeight="1" x14ac:dyDescent="0.2">
      <c r="B91" s="15" t="s">
        <v>6</v>
      </c>
      <c r="C91" s="5">
        <v>505942</v>
      </c>
      <c r="D91" s="5">
        <v>150000</v>
      </c>
      <c r="E91" s="5">
        <v>162787</v>
      </c>
      <c r="F91" s="5">
        <v>350929</v>
      </c>
      <c r="G91" s="5">
        <v>384343</v>
      </c>
      <c r="H91" s="5">
        <v>386227</v>
      </c>
      <c r="I91" s="5">
        <v>258550.15</v>
      </c>
      <c r="J91" s="5">
        <v>588170</v>
      </c>
      <c r="K91" s="5">
        <v>442185</v>
      </c>
      <c r="L91" s="5">
        <v>397550</v>
      </c>
      <c r="M91" s="5">
        <v>347934</v>
      </c>
      <c r="N91" s="5">
        <v>381146.78</v>
      </c>
      <c r="O91" s="16">
        <v>4355763.9300000006</v>
      </c>
      <c r="P91" s="17">
        <v>362980.32750000001</v>
      </c>
      <c r="Q91" s="18" t="s">
        <v>25</v>
      </c>
    </row>
    <row r="92" spans="2:17" ht="13.35" customHeight="1" x14ac:dyDescent="0.2">
      <c r="B92" s="15" t="s">
        <v>7</v>
      </c>
      <c r="C92" s="5">
        <v>0</v>
      </c>
      <c r="D92" s="5">
        <v>21060</v>
      </c>
      <c r="E92" s="5">
        <v>14896</v>
      </c>
      <c r="F92" s="5">
        <v>52324</v>
      </c>
      <c r="G92" s="5">
        <v>22600</v>
      </c>
      <c r="H92" s="5">
        <v>51740</v>
      </c>
      <c r="I92" s="5">
        <v>8700</v>
      </c>
      <c r="J92" s="5">
        <v>30680</v>
      </c>
      <c r="K92" s="5">
        <v>31560</v>
      </c>
      <c r="L92" s="5">
        <v>0</v>
      </c>
      <c r="M92" s="5">
        <v>25920</v>
      </c>
      <c r="N92" s="5">
        <v>24480</v>
      </c>
      <c r="O92" s="16">
        <v>283960</v>
      </c>
      <c r="P92" s="17">
        <v>23663.333333333332</v>
      </c>
      <c r="Q92" s="18" t="s">
        <v>24</v>
      </c>
    </row>
    <row r="93" spans="2:17" ht="13.35" customHeight="1" x14ac:dyDescent="0.2">
      <c r="B93" s="15" t="s">
        <v>17</v>
      </c>
      <c r="C93" s="5">
        <v>242476.81</v>
      </c>
      <c r="D93" s="5">
        <v>187890.46</v>
      </c>
      <c r="E93" s="5">
        <v>152855.15</v>
      </c>
      <c r="F93" s="5">
        <v>307586.87</v>
      </c>
      <c r="G93" s="5">
        <v>271539.59000000003</v>
      </c>
      <c r="H93" s="5">
        <v>239599.68999999997</v>
      </c>
      <c r="I93" s="5">
        <v>357952.54000000004</v>
      </c>
      <c r="J93" s="5">
        <v>297494.11000000004</v>
      </c>
      <c r="K93" s="5">
        <v>372875.39</v>
      </c>
      <c r="L93" s="5">
        <v>403716.1</v>
      </c>
      <c r="M93" s="5">
        <v>330455.09999999998</v>
      </c>
      <c r="N93" s="5">
        <v>409173.57</v>
      </c>
      <c r="O93" s="16">
        <v>3573615.38</v>
      </c>
      <c r="P93" s="17">
        <v>297801.28166666662</v>
      </c>
      <c r="Q93" s="18" t="s">
        <v>25</v>
      </c>
    </row>
    <row r="94" spans="2:17" ht="13.35" customHeight="1" x14ac:dyDescent="0.2">
      <c r="B94" s="15" t="s">
        <v>8</v>
      </c>
      <c r="C94" s="5">
        <v>366241.45</v>
      </c>
      <c r="D94" s="5">
        <v>215449.24</v>
      </c>
      <c r="E94" s="5">
        <v>1639.81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16">
        <v>583330.5</v>
      </c>
      <c r="P94" s="17">
        <v>48610.874999999993</v>
      </c>
      <c r="Q94" s="18" t="s">
        <v>26</v>
      </c>
    </row>
    <row r="95" spans="2:17" ht="13.35" customHeight="1" x14ac:dyDescent="0.2">
      <c r="B95" s="15" t="s">
        <v>10</v>
      </c>
      <c r="C95" s="5">
        <v>30232.58</v>
      </c>
      <c r="D95" s="5">
        <v>20494.84</v>
      </c>
      <c r="E95" s="5">
        <v>49788.45</v>
      </c>
      <c r="F95" s="5">
        <v>51625</v>
      </c>
      <c r="G95" s="5">
        <v>46225</v>
      </c>
      <c r="H95" s="5">
        <v>44097.43</v>
      </c>
      <c r="I95" s="5">
        <v>43939</v>
      </c>
      <c r="J95" s="5">
        <v>57795.259999999995</v>
      </c>
      <c r="K95" s="5">
        <v>33952.720000000001</v>
      </c>
      <c r="L95" s="5">
        <v>42744.42</v>
      </c>
      <c r="M95" s="5">
        <v>6565.5499999999993</v>
      </c>
      <c r="N95" s="5">
        <v>63453.57</v>
      </c>
      <c r="O95" s="16">
        <v>490913.82000000007</v>
      </c>
      <c r="P95" s="17">
        <v>40909.485000000001</v>
      </c>
      <c r="Q95" s="18" t="s">
        <v>25</v>
      </c>
    </row>
    <row r="96" spans="2:17" ht="13.35" customHeight="1" x14ac:dyDescent="0.2">
      <c r="B96" s="15" t="s">
        <v>11</v>
      </c>
      <c r="C96" s="5">
        <v>253906.3</v>
      </c>
      <c r="D96" s="5">
        <v>213352.91</v>
      </c>
      <c r="E96" s="5">
        <v>199862.32</v>
      </c>
      <c r="F96" s="5">
        <v>215275.94</v>
      </c>
      <c r="G96" s="5">
        <v>220493.43</v>
      </c>
      <c r="H96" s="5">
        <v>289298.71999999997</v>
      </c>
      <c r="I96" s="5">
        <v>266140.61</v>
      </c>
      <c r="J96" s="5">
        <v>267128.49</v>
      </c>
      <c r="K96" s="5">
        <v>308601.57000000036</v>
      </c>
      <c r="L96" s="5">
        <v>254954.72</v>
      </c>
      <c r="M96" s="5">
        <v>311783.16000000003</v>
      </c>
      <c r="N96" s="5">
        <v>252737.94</v>
      </c>
      <c r="O96" s="16">
        <v>3053536.1100000003</v>
      </c>
      <c r="P96" s="17">
        <v>254461.34250000003</v>
      </c>
      <c r="Q96" s="18" t="s">
        <v>24</v>
      </c>
    </row>
    <row r="97" spans="2:17" ht="13.35" customHeight="1" x14ac:dyDescent="0.2">
      <c r="B97" s="15" t="s">
        <v>13</v>
      </c>
      <c r="C97" s="5">
        <v>29923.040000000001</v>
      </c>
      <c r="D97" s="5">
        <v>41050</v>
      </c>
      <c r="E97" s="5">
        <v>39800</v>
      </c>
      <c r="F97" s="5">
        <v>61624.03</v>
      </c>
      <c r="G97" s="5">
        <v>53983.42</v>
      </c>
      <c r="H97" s="5">
        <v>47900</v>
      </c>
      <c r="I97" s="5">
        <v>6216.5599999999995</v>
      </c>
      <c r="J97" s="5">
        <v>85275</v>
      </c>
      <c r="K97" s="5">
        <v>96474.64</v>
      </c>
      <c r="L97" s="5">
        <v>66248.489999999991</v>
      </c>
      <c r="M97" s="5">
        <v>73006.23</v>
      </c>
      <c r="N97" s="5">
        <v>60568.12</v>
      </c>
      <c r="O97" s="16">
        <v>662069.53</v>
      </c>
      <c r="P97" s="17">
        <v>55172.460833333338</v>
      </c>
      <c r="Q97" s="18" t="s">
        <v>24</v>
      </c>
    </row>
    <row r="98" spans="2:17" ht="13.35" customHeight="1" x14ac:dyDescent="0.2">
      <c r="B98" s="15" t="s">
        <v>14</v>
      </c>
      <c r="C98" s="5">
        <v>64125</v>
      </c>
      <c r="D98" s="5">
        <v>141784.68</v>
      </c>
      <c r="E98" s="5">
        <v>16725</v>
      </c>
      <c r="F98" s="5">
        <v>191300</v>
      </c>
      <c r="G98" s="5">
        <v>238625</v>
      </c>
      <c r="H98" s="5">
        <v>167950</v>
      </c>
      <c r="I98" s="5">
        <v>245000</v>
      </c>
      <c r="J98" s="5">
        <v>234650</v>
      </c>
      <c r="K98" s="5">
        <v>63800</v>
      </c>
      <c r="L98" s="5">
        <v>33600</v>
      </c>
      <c r="M98" s="5">
        <v>128950</v>
      </c>
      <c r="N98" s="5">
        <v>498625</v>
      </c>
      <c r="O98" s="16">
        <v>2025134.68</v>
      </c>
      <c r="P98" s="17">
        <v>168761.22333333333</v>
      </c>
      <c r="Q98" s="18" t="s">
        <v>25</v>
      </c>
    </row>
    <row r="99" spans="2:17" ht="13.35" customHeight="1" x14ac:dyDescent="0.2">
      <c r="B99" s="15" t="s">
        <v>15</v>
      </c>
      <c r="C99" s="5">
        <v>33785.839999999997</v>
      </c>
      <c r="D99" s="5">
        <v>33034.6</v>
      </c>
      <c r="E99" s="5">
        <v>7800.76</v>
      </c>
      <c r="F99" s="5">
        <v>0</v>
      </c>
      <c r="G99" s="5">
        <v>360</v>
      </c>
      <c r="H99" s="5">
        <v>0</v>
      </c>
      <c r="I99" s="5">
        <v>31378.500000000004</v>
      </c>
      <c r="J99" s="5">
        <v>10397.31</v>
      </c>
      <c r="K99" s="5">
        <v>22482.379999999997</v>
      </c>
      <c r="L99" s="5">
        <v>9176.25</v>
      </c>
      <c r="M99" s="5">
        <v>27910.62</v>
      </c>
      <c r="N99" s="5">
        <v>15526.08</v>
      </c>
      <c r="O99" s="16">
        <v>191852.33999999997</v>
      </c>
      <c r="P99" s="17">
        <v>15987.694999999998</v>
      </c>
      <c r="Q99" s="18" t="s">
        <v>24</v>
      </c>
    </row>
    <row r="100" spans="2:17" ht="13.35" customHeight="1" x14ac:dyDescent="0.2">
      <c r="B100" s="15" t="s">
        <v>16</v>
      </c>
      <c r="C100" s="5">
        <v>150</v>
      </c>
      <c r="D100" s="5">
        <v>0</v>
      </c>
      <c r="E100" s="5">
        <v>5850</v>
      </c>
      <c r="F100" s="5">
        <v>8550</v>
      </c>
      <c r="G100" s="5">
        <v>6600</v>
      </c>
      <c r="H100" s="5">
        <v>150</v>
      </c>
      <c r="I100" s="5">
        <v>9280</v>
      </c>
      <c r="J100" s="5">
        <v>200</v>
      </c>
      <c r="K100" s="5">
        <v>1957.26</v>
      </c>
      <c r="L100" s="5">
        <v>9174.69</v>
      </c>
      <c r="M100" s="5">
        <v>25054.959999999999</v>
      </c>
      <c r="N100" s="5">
        <v>0</v>
      </c>
      <c r="O100" s="16">
        <v>66966.91</v>
      </c>
      <c r="P100" s="17">
        <v>5580.5758333333333</v>
      </c>
      <c r="Q100" s="18" t="s">
        <v>24</v>
      </c>
    </row>
    <row r="101" spans="2:17" ht="13.35" customHeight="1" x14ac:dyDescent="0.2">
      <c r="B101" s="19" t="s">
        <v>18</v>
      </c>
      <c r="C101" s="6">
        <v>371000</v>
      </c>
      <c r="D101" s="6">
        <v>383770.19</v>
      </c>
      <c r="E101" s="6">
        <v>372667.39</v>
      </c>
      <c r="F101" s="6">
        <v>534071.44999999995</v>
      </c>
      <c r="G101" s="6">
        <v>233089.5</v>
      </c>
      <c r="H101" s="6">
        <v>335377.69</v>
      </c>
      <c r="I101" s="6">
        <v>209951</v>
      </c>
      <c r="J101" s="6">
        <v>633024.35</v>
      </c>
      <c r="K101" s="6">
        <v>168316.95</v>
      </c>
      <c r="L101" s="6">
        <v>436115.47</v>
      </c>
      <c r="M101" s="6">
        <v>409341.17</v>
      </c>
      <c r="N101" s="6">
        <v>551866.84</v>
      </c>
      <c r="O101" s="6">
        <v>4638592</v>
      </c>
      <c r="P101" s="6">
        <v>386549.33333333331</v>
      </c>
      <c r="Q101" s="6" t="s">
        <v>25</v>
      </c>
    </row>
    <row r="102" spans="2:17" ht="13.35" customHeight="1" x14ac:dyDescent="0.2">
      <c r="B102" s="15" t="s">
        <v>34</v>
      </c>
      <c r="C102" s="5">
        <v>210000</v>
      </c>
      <c r="D102" s="5">
        <v>213748</v>
      </c>
      <c r="E102" s="5">
        <v>210690</v>
      </c>
      <c r="F102" s="5">
        <v>210000</v>
      </c>
      <c r="G102" s="5">
        <v>231009.75</v>
      </c>
      <c r="H102" s="5">
        <v>127000</v>
      </c>
      <c r="I102" s="5">
        <v>128320</v>
      </c>
      <c r="J102" s="5">
        <v>127660</v>
      </c>
      <c r="K102" s="5">
        <v>127780</v>
      </c>
      <c r="L102" s="5">
        <v>127750</v>
      </c>
      <c r="M102" s="5">
        <v>127720</v>
      </c>
      <c r="N102" s="5">
        <v>127000</v>
      </c>
      <c r="O102" s="16">
        <v>1968677.75</v>
      </c>
      <c r="P102" s="17">
        <v>164056.47916666666</v>
      </c>
      <c r="Q102" s="18" t="s">
        <v>24</v>
      </c>
    </row>
    <row r="103" spans="2:17" ht="13.35" customHeight="1" x14ac:dyDescent="0.2">
      <c r="B103" s="15" t="s">
        <v>35</v>
      </c>
      <c r="C103" s="5">
        <v>161000</v>
      </c>
      <c r="D103" s="5">
        <v>170022.19</v>
      </c>
      <c r="E103" s="5">
        <v>161977.39000000001</v>
      </c>
      <c r="F103" s="5">
        <v>324071.45</v>
      </c>
      <c r="G103" s="5">
        <v>2079.75</v>
      </c>
      <c r="H103" s="5">
        <v>208377.69</v>
      </c>
      <c r="I103" s="5">
        <v>81631</v>
      </c>
      <c r="J103" s="5">
        <v>505364.35</v>
      </c>
      <c r="K103" s="5">
        <v>40536.949999999997</v>
      </c>
      <c r="L103" s="5">
        <v>308365.46999999997</v>
      </c>
      <c r="M103" s="5">
        <v>281621.17</v>
      </c>
      <c r="N103" s="5">
        <v>424866.83999999997</v>
      </c>
      <c r="O103" s="16">
        <v>2669914.25</v>
      </c>
      <c r="P103" s="17">
        <v>222492.85416666669</v>
      </c>
      <c r="Q103" s="18" t="s">
        <v>25</v>
      </c>
    </row>
    <row r="104" spans="2:17" ht="13.35" customHeight="1" x14ac:dyDescent="0.2">
      <c r="B104" s="15" t="s">
        <v>46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21300</v>
      </c>
      <c r="K104" s="5">
        <v>300500</v>
      </c>
      <c r="L104" s="5">
        <v>303200</v>
      </c>
      <c r="M104" s="5">
        <v>307475</v>
      </c>
      <c r="N104" s="5">
        <v>934985.66</v>
      </c>
      <c r="O104" s="16">
        <v>1867460.66</v>
      </c>
      <c r="P104" s="17">
        <v>155621.72166666665</v>
      </c>
      <c r="Q104" s="18" t="s">
        <v>25</v>
      </c>
    </row>
    <row r="105" spans="2:17" ht="13.35" customHeight="1" x14ac:dyDescent="0.2">
      <c r="B105" s="15" t="s">
        <v>19</v>
      </c>
      <c r="C105" s="5">
        <v>188081.4</v>
      </c>
      <c r="D105" s="5">
        <v>98066.15</v>
      </c>
      <c r="E105" s="5">
        <v>353481.77999999997</v>
      </c>
      <c r="F105" s="5">
        <v>161462</v>
      </c>
      <c r="G105" s="5">
        <v>281054.65000000002</v>
      </c>
      <c r="H105" s="5">
        <v>107517.13</v>
      </c>
      <c r="I105" s="5">
        <v>268651.25000000006</v>
      </c>
      <c r="J105" s="5">
        <v>254122.19999999998</v>
      </c>
      <c r="K105" s="5">
        <v>248595.03999999998</v>
      </c>
      <c r="L105" s="5">
        <v>204440.9</v>
      </c>
      <c r="M105" s="5">
        <v>237162</v>
      </c>
      <c r="N105" s="5">
        <v>260082.66</v>
      </c>
      <c r="O105" s="16">
        <v>2662717.1599999997</v>
      </c>
      <c r="P105" s="17">
        <v>221893.09666666662</v>
      </c>
      <c r="Q105" s="18" t="s">
        <v>25</v>
      </c>
    </row>
    <row r="106" spans="2:17" ht="13.35" customHeight="1" x14ac:dyDescent="0.2">
      <c r="B106" s="15" t="s">
        <v>45</v>
      </c>
      <c r="C106" s="5">
        <v>15913.35</v>
      </c>
      <c r="D106" s="5">
        <v>89327.44</v>
      </c>
      <c r="E106" s="5">
        <v>29586.97</v>
      </c>
      <c r="F106" s="5">
        <v>35241.15</v>
      </c>
      <c r="G106" s="5">
        <v>13987.619999999999</v>
      </c>
      <c r="H106" s="5">
        <v>38088.050000000003</v>
      </c>
      <c r="I106" s="5">
        <v>58103.899999999994</v>
      </c>
      <c r="J106" s="5">
        <v>58995.59</v>
      </c>
      <c r="K106" s="5">
        <v>259797.16999999998</v>
      </c>
      <c r="L106" s="5">
        <v>36011.449999999997</v>
      </c>
      <c r="M106" s="5">
        <v>46962.62</v>
      </c>
      <c r="N106" s="5">
        <v>54465.600000000006</v>
      </c>
      <c r="O106" s="16">
        <v>736480.90999999992</v>
      </c>
      <c r="P106" s="17">
        <v>61373.409166666657</v>
      </c>
      <c r="Q106" s="18" t="s">
        <v>24</v>
      </c>
    </row>
    <row r="107" spans="2:17" ht="12.75" customHeight="1" x14ac:dyDescent="0.2">
      <c r="B107" s="57" t="s">
        <v>44</v>
      </c>
      <c r="C107" s="58">
        <v>0</v>
      </c>
      <c r="D107" s="58">
        <v>210000</v>
      </c>
      <c r="E107" s="59">
        <v>80000</v>
      </c>
      <c r="F107" s="58">
        <v>80000</v>
      </c>
      <c r="G107" s="58">
        <v>80000</v>
      </c>
      <c r="H107" s="58">
        <v>80000</v>
      </c>
      <c r="I107" s="58">
        <v>0</v>
      </c>
      <c r="J107" s="58">
        <v>0</v>
      </c>
      <c r="K107" s="58">
        <v>110000</v>
      </c>
      <c r="L107" s="58">
        <v>170000</v>
      </c>
      <c r="M107" s="58">
        <v>0</v>
      </c>
      <c r="N107" s="58">
        <v>400000</v>
      </c>
      <c r="O107" s="60">
        <v>1210000</v>
      </c>
      <c r="P107" s="61">
        <v>100833.33333333333</v>
      </c>
      <c r="Q107" s="62" t="s">
        <v>25</v>
      </c>
    </row>
    <row r="108" spans="2:17" ht="13.35" customHeight="1" thickBot="1" x14ac:dyDescent="0.25">
      <c r="B108" s="20" t="s">
        <v>36</v>
      </c>
      <c r="C108" s="7">
        <v>2004.58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750</v>
      </c>
      <c r="J108" s="7">
        <v>0</v>
      </c>
      <c r="K108" s="7">
        <v>750</v>
      </c>
      <c r="L108" s="7">
        <v>1250</v>
      </c>
      <c r="M108" s="7">
        <v>1100</v>
      </c>
      <c r="N108" s="7">
        <v>250</v>
      </c>
      <c r="O108" s="21">
        <v>6104.58</v>
      </c>
      <c r="P108" s="22">
        <v>508.71499999999997</v>
      </c>
      <c r="Q108" s="23" t="s">
        <v>24</v>
      </c>
    </row>
    <row r="109" spans="2:17" ht="13.35" customHeight="1" thickBot="1" x14ac:dyDescent="0.25">
      <c r="B109" s="24" t="s">
        <v>22</v>
      </c>
      <c r="C109" s="8">
        <v>2859585.31</v>
      </c>
      <c r="D109" s="8">
        <v>2290503.62</v>
      </c>
      <c r="E109" s="8">
        <v>2258763.79</v>
      </c>
      <c r="F109" s="8">
        <v>3226365.2300000004</v>
      </c>
      <c r="G109" s="8">
        <v>2759630.72</v>
      </c>
      <c r="H109" s="8">
        <v>2764496.3499999996</v>
      </c>
      <c r="I109" s="8">
        <v>2839189.01</v>
      </c>
      <c r="J109" s="8">
        <v>3801574.8499999992</v>
      </c>
      <c r="K109" s="8">
        <v>3346794.8</v>
      </c>
      <c r="L109" s="8">
        <v>3245706.1199999992</v>
      </c>
      <c r="M109" s="8">
        <v>3479448.69</v>
      </c>
      <c r="N109" s="8">
        <v>4923248.92</v>
      </c>
      <c r="O109" s="25">
        <v>37795307.409999989</v>
      </c>
      <c r="P109" s="26">
        <v>3149608.9508333327</v>
      </c>
      <c r="Q109" s="27"/>
    </row>
    <row r="110" spans="2:17" ht="13.35" customHeight="1" thickBot="1" x14ac:dyDescent="0.25"/>
    <row r="111" spans="2:17" ht="13.35" customHeight="1" thickBot="1" x14ac:dyDescent="0.25">
      <c r="B111" s="67" t="s">
        <v>49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9"/>
    </row>
    <row r="112" spans="2:17" ht="13.35" customHeight="1" thickBot="1" x14ac:dyDescent="0.25">
      <c r="B112" s="28" t="s">
        <v>21</v>
      </c>
      <c r="C112" s="3">
        <v>45292</v>
      </c>
      <c r="D112" s="3">
        <v>45323</v>
      </c>
      <c r="E112" s="3">
        <v>45352</v>
      </c>
      <c r="F112" s="3">
        <v>45383</v>
      </c>
      <c r="G112" s="3">
        <v>45413</v>
      </c>
      <c r="H112" s="3">
        <v>45444</v>
      </c>
      <c r="I112" s="3">
        <v>45474</v>
      </c>
      <c r="J112" s="3">
        <v>45505</v>
      </c>
      <c r="K112" s="3">
        <v>45536</v>
      </c>
      <c r="L112" s="3">
        <v>45566</v>
      </c>
      <c r="M112" s="3">
        <v>45597</v>
      </c>
      <c r="N112" s="3">
        <v>45627</v>
      </c>
      <c r="O112" s="29" t="s">
        <v>47</v>
      </c>
      <c r="P112" s="30" t="s">
        <v>48</v>
      </c>
      <c r="Q112" s="13" t="s">
        <v>23</v>
      </c>
    </row>
    <row r="113" spans="2:17" ht="12.75" customHeight="1" x14ac:dyDescent="0.2">
      <c r="B113" s="14" t="s">
        <v>33</v>
      </c>
      <c r="C113" s="4">
        <v>371293.79</v>
      </c>
      <c r="D113" s="4">
        <v>182250.02000000002</v>
      </c>
      <c r="E113" s="4">
        <v>215854.96</v>
      </c>
      <c r="F113" s="4">
        <v>268111.91000000003</v>
      </c>
      <c r="G113" s="4">
        <v>174324.21</v>
      </c>
      <c r="H113" s="4">
        <v>1194711.56</v>
      </c>
      <c r="I113" s="4">
        <v>257958.49</v>
      </c>
      <c r="J113" s="4">
        <v>303469.88</v>
      </c>
      <c r="K113" s="4">
        <v>172179.33</v>
      </c>
      <c r="L113" s="4">
        <v>518411.54</v>
      </c>
      <c r="M113" s="4">
        <v>315805.68</v>
      </c>
      <c r="N113" s="4">
        <v>310337.07</v>
      </c>
      <c r="O113" s="4">
        <v>4284708.4400000004</v>
      </c>
      <c r="P113" s="4">
        <v>357059.03666666668</v>
      </c>
      <c r="Q113" s="4" t="s">
        <v>24</v>
      </c>
    </row>
    <row r="114" spans="2:17" ht="13.35" customHeight="1" x14ac:dyDescent="0.2">
      <c r="B114" s="15" t="s">
        <v>0</v>
      </c>
      <c r="C114" s="5">
        <v>324033.28999999998</v>
      </c>
      <c r="D114" s="5">
        <v>159347.48000000001</v>
      </c>
      <c r="E114" s="5">
        <v>181291.02</v>
      </c>
      <c r="F114" s="63">
        <v>222020.41</v>
      </c>
      <c r="G114" s="63">
        <v>136133.41999999998</v>
      </c>
      <c r="H114" s="5">
        <v>316596.59999999998</v>
      </c>
      <c r="I114" s="5">
        <v>173683.49</v>
      </c>
      <c r="J114" s="5">
        <v>284365.84999999998</v>
      </c>
      <c r="K114" s="5">
        <v>161429.32999999999</v>
      </c>
      <c r="L114" s="5">
        <v>290554.78999999998</v>
      </c>
      <c r="M114" s="5">
        <v>172155.07</v>
      </c>
      <c r="N114" s="5">
        <v>176816.13</v>
      </c>
      <c r="O114" s="16">
        <v>2598426.88</v>
      </c>
      <c r="P114" s="17">
        <v>216535.57333333333</v>
      </c>
      <c r="Q114" s="18" t="s">
        <v>25</v>
      </c>
    </row>
    <row r="115" spans="2:17" ht="13.35" customHeight="1" x14ac:dyDescent="0.2">
      <c r="B115" s="15" t="s">
        <v>1</v>
      </c>
      <c r="C115" s="5">
        <v>13040</v>
      </c>
      <c r="D115" s="5">
        <v>9340</v>
      </c>
      <c r="E115" s="5">
        <v>15540</v>
      </c>
      <c r="F115" s="63">
        <v>24790</v>
      </c>
      <c r="G115" s="63">
        <v>19480</v>
      </c>
      <c r="H115" s="5">
        <v>465330</v>
      </c>
      <c r="I115" s="5">
        <v>81600</v>
      </c>
      <c r="J115" s="5">
        <v>12820</v>
      </c>
      <c r="K115" s="5">
        <v>0</v>
      </c>
      <c r="L115" s="5">
        <v>209250</v>
      </c>
      <c r="M115" s="5">
        <v>122900</v>
      </c>
      <c r="N115" s="5">
        <v>100550</v>
      </c>
      <c r="O115" s="16">
        <v>1074640</v>
      </c>
      <c r="P115" s="17">
        <v>89553.333333333328</v>
      </c>
      <c r="Q115" s="18" t="s">
        <v>24</v>
      </c>
    </row>
    <row r="116" spans="2:17" ht="13.35" customHeight="1" x14ac:dyDescent="0.2">
      <c r="B116" s="15" t="s">
        <v>2</v>
      </c>
      <c r="C116" s="5">
        <v>34220.5</v>
      </c>
      <c r="D116" s="5">
        <v>13562.54</v>
      </c>
      <c r="E116" s="5">
        <v>19023.940000000002</v>
      </c>
      <c r="F116" s="63">
        <v>21301.5</v>
      </c>
      <c r="G116" s="63">
        <v>18710.79</v>
      </c>
      <c r="H116" s="5">
        <v>412784.96</v>
      </c>
      <c r="I116" s="5">
        <v>2675</v>
      </c>
      <c r="J116" s="5">
        <v>6284.03</v>
      </c>
      <c r="K116" s="5">
        <v>10750</v>
      </c>
      <c r="L116" s="5">
        <v>18606.75</v>
      </c>
      <c r="M116" s="5">
        <v>20750.61</v>
      </c>
      <c r="N116" s="5">
        <v>32970.94</v>
      </c>
      <c r="O116" s="16">
        <v>611641.55999999994</v>
      </c>
      <c r="P116" s="17">
        <v>50970.13</v>
      </c>
      <c r="Q116" s="18" t="s">
        <v>25</v>
      </c>
    </row>
    <row r="117" spans="2:17" ht="13.35" customHeight="1" x14ac:dyDescent="0.2">
      <c r="B117" s="15" t="s">
        <v>3</v>
      </c>
      <c r="C117" s="5">
        <v>73344.2</v>
      </c>
      <c r="D117" s="5">
        <v>56990.94</v>
      </c>
      <c r="E117" s="63">
        <v>53645.78</v>
      </c>
      <c r="F117" s="63">
        <v>78230.070000000007</v>
      </c>
      <c r="G117" s="63">
        <v>78187.17</v>
      </c>
      <c r="H117" s="5">
        <v>71351.310177000007</v>
      </c>
      <c r="I117" s="5">
        <v>75628.73</v>
      </c>
      <c r="J117" s="5">
        <v>110459.160303</v>
      </c>
      <c r="K117" s="5">
        <v>89784.000266000003</v>
      </c>
      <c r="L117" s="5">
        <v>112485.07</v>
      </c>
      <c r="M117" s="5">
        <v>82593.43993600001</v>
      </c>
      <c r="N117" s="5">
        <v>106191.76000000001</v>
      </c>
      <c r="O117" s="16">
        <v>988891.63068200008</v>
      </c>
      <c r="P117" s="17">
        <v>82407.635890166668</v>
      </c>
      <c r="Q117" s="18" t="s">
        <v>25</v>
      </c>
    </row>
    <row r="118" spans="2:17" ht="13.35" customHeight="1" x14ac:dyDescent="0.2">
      <c r="B118" s="15" t="s">
        <v>4</v>
      </c>
      <c r="C118" s="5">
        <v>670166.53999999992</v>
      </c>
      <c r="D118" s="5">
        <v>489260.45</v>
      </c>
      <c r="E118" s="5">
        <v>485412.50999999995</v>
      </c>
      <c r="F118" s="63">
        <v>662520.66</v>
      </c>
      <c r="G118" s="63">
        <v>563033.92919499998</v>
      </c>
      <c r="H118" s="5">
        <v>652589.34020700003</v>
      </c>
      <c r="I118" s="5">
        <v>761916.51070500002</v>
      </c>
      <c r="J118" s="5">
        <v>794385.929611</v>
      </c>
      <c r="K118" s="5">
        <v>745284.29061399994</v>
      </c>
      <c r="L118" s="5">
        <v>641506.72057400004</v>
      </c>
      <c r="M118" s="5">
        <v>966076.32038799999</v>
      </c>
      <c r="N118" s="5">
        <v>477835.2</v>
      </c>
      <c r="O118" s="16">
        <v>7909988.4012940004</v>
      </c>
      <c r="P118" s="17">
        <v>659165.70010783337</v>
      </c>
      <c r="Q118" s="18" t="s">
        <v>24</v>
      </c>
    </row>
    <row r="119" spans="2:17" ht="13.35" customHeight="1" x14ac:dyDescent="0.2">
      <c r="B119" s="15" t="s">
        <v>6</v>
      </c>
      <c r="C119" s="5">
        <v>388935.34</v>
      </c>
      <c r="D119" s="5">
        <v>141906.22</v>
      </c>
      <c r="E119" s="63">
        <v>470993.99999999994</v>
      </c>
      <c r="F119" s="63">
        <v>330000</v>
      </c>
      <c r="G119" s="63">
        <v>110000</v>
      </c>
      <c r="H119" s="5">
        <v>173309.88</v>
      </c>
      <c r="I119" s="5">
        <v>1322400.92</v>
      </c>
      <c r="J119" s="5">
        <v>6719.7199999999993</v>
      </c>
      <c r="K119" s="5">
        <v>483222.87</v>
      </c>
      <c r="L119" s="5">
        <v>656927.4</v>
      </c>
      <c r="M119" s="5">
        <v>650666.57999999996</v>
      </c>
      <c r="N119" s="5">
        <v>660205.05000000005</v>
      </c>
      <c r="O119" s="16">
        <v>5395287.9800000004</v>
      </c>
      <c r="P119" s="17">
        <v>449607.33166666667</v>
      </c>
      <c r="Q119" s="18" t="s">
        <v>25</v>
      </c>
    </row>
    <row r="120" spans="2:17" ht="13.35" customHeight="1" x14ac:dyDescent="0.2">
      <c r="B120" s="15" t="s">
        <v>7</v>
      </c>
      <c r="C120" s="5">
        <v>0</v>
      </c>
      <c r="D120" s="5">
        <v>0</v>
      </c>
      <c r="E120" s="5">
        <v>48152</v>
      </c>
      <c r="F120" s="63">
        <v>66962</v>
      </c>
      <c r="G120" s="63">
        <v>0</v>
      </c>
      <c r="H120" s="5">
        <v>50600</v>
      </c>
      <c r="I120" s="5">
        <v>54960</v>
      </c>
      <c r="J120" s="5">
        <v>40906</v>
      </c>
      <c r="K120" s="5">
        <v>36960</v>
      </c>
      <c r="L120" s="5">
        <v>38440</v>
      </c>
      <c r="M120" s="5">
        <v>23160</v>
      </c>
      <c r="N120" s="5">
        <v>60080</v>
      </c>
      <c r="O120" s="16">
        <v>420220</v>
      </c>
      <c r="P120" s="17">
        <v>35018.333333333336</v>
      </c>
      <c r="Q120" s="18" t="s">
        <v>25</v>
      </c>
    </row>
    <row r="121" spans="2:17" ht="13.35" customHeight="1" x14ac:dyDescent="0.2">
      <c r="B121" s="15" t="s">
        <v>17</v>
      </c>
      <c r="C121" s="5">
        <v>322904.63</v>
      </c>
      <c r="D121" s="5">
        <v>285089.25</v>
      </c>
      <c r="E121" s="5">
        <v>216698.37000000005</v>
      </c>
      <c r="F121" s="63">
        <v>287729.18</v>
      </c>
      <c r="G121" s="63">
        <v>277453.08999999997</v>
      </c>
      <c r="H121" s="5">
        <v>268242.11</v>
      </c>
      <c r="I121" s="5">
        <v>397690.97</v>
      </c>
      <c r="J121" s="5">
        <v>385455.04</v>
      </c>
      <c r="K121" s="5">
        <v>542223.18999999994</v>
      </c>
      <c r="L121" s="5">
        <v>479836.46</v>
      </c>
      <c r="M121" s="5">
        <v>443001.10000000003</v>
      </c>
      <c r="N121" s="5">
        <v>478222.74</v>
      </c>
      <c r="O121" s="16">
        <v>4384546.1300000008</v>
      </c>
      <c r="P121" s="17">
        <v>365378.84416666673</v>
      </c>
      <c r="Q121" s="18" t="s">
        <v>25</v>
      </c>
    </row>
    <row r="122" spans="2:17" ht="13.35" customHeight="1" x14ac:dyDescent="0.2">
      <c r="B122" s="15" t="s">
        <v>10</v>
      </c>
      <c r="C122" s="5">
        <v>0</v>
      </c>
      <c r="D122" s="5">
        <v>40825.43</v>
      </c>
      <c r="E122" s="5">
        <v>57058.770000000004</v>
      </c>
      <c r="F122" s="63">
        <v>51804.51</v>
      </c>
      <c r="G122" s="63">
        <v>41984.72</v>
      </c>
      <c r="H122" s="5">
        <v>51544.59</v>
      </c>
      <c r="I122" s="5">
        <v>36251.199999999997</v>
      </c>
      <c r="J122" s="5">
        <v>1109</v>
      </c>
      <c r="K122" s="5">
        <v>50294.18</v>
      </c>
      <c r="L122" s="5">
        <v>26950.54</v>
      </c>
      <c r="M122" s="5">
        <v>35383.770000000004</v>
      </c>
      <c r="N122" s="5">
        <v>5581.3099999999995</v>
      </c>
      <c r="O122" s="16">
        <v>398788.02</v>
      </c>
      <c r="P122" s="17">
        <v>33232.334999999999</v>
      </c>
      <c r="Q122" s="18" t="s">
        <v>24</v>
      </c>
    </row>
    <row r="123" spans="2:17" ht="13.35" customHeight="1" x14ac:dyDescent="0.2">
      <c r="B123" s="15" t="s">
        <v>11</v>
      </c>
      <c r="C123" s="5">
        <v>332033.22000000003</v>
      </c>
      <c r="D123" s="5">
        <v>284873.64</v>
      </c>
      <c r="E123" s="5">
        <v>312186.80999999994</v>
      </c>
      <c r="F123" s="63">
        <v>335527.19999999995</v>
      </c>
      <c r="G123" s="63">
        <v>375933.67</v>
      </c>
      <c r="H123" s="5">
        <v>386169.3</v>
      </c>
      <c r="I123" s="5">
        <v>380280.65</v>
      </c>
      <c r="J123" s="5">
        <v>397236.78</v>
      </c>
      <c r="K123" s="5">
        <v>399218.51</v>
      </c>
      <c r="L123" s="5">
        <v>370265.06</v>
      </c>
      <c r="M123" s="5">
        <v>412640.94</v>
      </c>
      <c r="N123" s="5">
        <v>327920.57</v>
      </c>
      <c r="O123" s="16">
        <v>4314286.3499999996</v>
      </c>
      <c r="P123" s="17">
        <v>359523.86249999993</v>
      </c>
      <c r="Q123" s="18" t="s">
        <v>24</v>
      </c>
    </row>
    <row r="124" spans="2:17" ht="13.35" customHeight="1" x14ac:dyDescent="0.2">
      <c r="B124" s="15" t="s">
        <v>13</v>
      </c>
      <c r="C124" s="5">
        <v>50530</v>
      </c>
      <c r="D124" s="5">
        <v>38020.79</v>
      </c>
      <c r="E124" s="5">
        <v>1100</v>
      </c>
      <c r="F124" s="63">
        <v>127857.2</v>
      </c>
      <c r="G124" s="63">
        <v>42821.3</v>
      </c>
      <c r="H124" s="5">
        <v>59019.880025999999</v>
      </c>
      <c r="I124" s="5">
        <v>72528.910002999997</v>
      </c>
      <c r="J124" s="5">
        <v>53383.87</v>
      </c>
      <c r="K124" s="5">
        <v>65699.999995999999</v>
      </c>
      <c r="L124" s="5">
        <v>94828.500022000007</v>
      </c>
      <c r="M124" s="5">
        <v>85629.48</v>
      </c>
      <c r="N124" s="5">
        <v>101547.61992099999</v>
      </c>
      <c r="O124" s="16">
        <v>792967.54996799992</v>
      </c>
      <c r="P124" s="17">
        <v>66080.629164000013</v>
      </c>
      <c r="Q124" s="18" t="s">
        <v>25</v>
      </c>
    </row>
    <row r="125" spans="2:17" ht="13.35" customHeight="1" x14ac:dyDescent="0.2">
      <c r="B125" s="15" t="s">
        <v>50</v>
      </c>
      <c r="C125" s="5">
        <v>197725</v>
      </c>
      <c r="D125" s="5">
        <v>92675</v>
      </c>
      <c r="E125" s="5">
        <v>100525</v>
      </c>
      <c r="F125" s="63">
        <v>90425</v>
      </c>
      <c r="G125" s="63">
        <v>466115</v>
      </c>
      <c r="H125" s="5">
        <v>204677.2</v>
      </c>
      <c r="I125" s="5">
        <v>166710</v>
      </c>
      <c r="J125" s="5">
        <v>46685</v>
      </c>
      <c r="K125" s="5">
        <v>255725</v>
      </c>
      <c r="L125" s="5">
        <v>140624.77000000002</v>
      </c>
      <c r="M125" s="5">
        <v>1268885</v>
      </c>
      <c r="N125" s="5">
        <v>519559</v>
      </c>
      <c r="O125" s="16">
        <v>3550330.97</v>
      </c>
      <c r="P125" s="17">
        <v>295860.91416666668</v>
      </c>
      <c r="Q125" s="18" t="s">
        <v>24</v>
      </c>
    </row>
    <row r="126" spans="2:17" ht="13.35" customHeight="1" x14ac:dyDescent="0.2">
      <c r="B126" s="15" t="s">
        <v>15</v>
      </c>
      <c r="C126" s="5">
        <v>952.21</v>
      </c>
      <c r="D126" s="5">
        <v>0</v>
      </c>
      <c r="E126" s="5">
        <v>0</v>
      </c>
      <c r="F126" s="63">
        <v>0</v>
      </c>
      <c r="G126" s="63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16">
        <v>952.21</v>
      </c>
      <c r="P126" s="17">
        <v>79.350833333333341</v>
      </c>
      <c r="Q126" s="18" t="s">
        <v>26</v>
      </c>
    </row>
    <row r="127" spans="2:17" ht="13.35" customHeight="1" x14ac:dyDescent="0.2">
      <c r="B127" s="15" t="s">
        <v>16</v>
      </c>
      <c r="C127" s="5">
        <v>0</v>
      </c>
      <c r="D127" s="5">
        <v>0</v>
      </c>
      <c r="E127" s="5">
        <v>0</v>
      </c>
      <c r="F127" s="63">
        <v>0</v>
      </c>
      <c r="G127" s="63">
        <v>1529.1</v>
      </c>
      <c r="H127" s="5">
        <v>34460.129999999997</v>
      </c>
      <c r="I127" s="5">
        <v>21542.16</v>
      </c>
      <c r="J127" s="5">
        <v>10203.700000000001</v>
      </c>
      <c r="K127" s="5">
        <v>11563.47</v>
      </c>
      <c r="L127" s="5">
        <v>0</v>
      </c>
      <c r="M127" s="5">
        <v>3716.34</v>
      </c>
      <c r="N127" s="5">
        <v>14278.46</v>
      </c>
      <c r="O127" s="16">
        <v>97293.359999999986</v>
      </c>
      <c r="P127" s="17">
        <v>8107.7799999999988</v>
      </c>
      <c r="Q127" s="18" t="s">
        <v>25</v>
      </c>
    </row>
    <row r="128" spans="2:17" ht="13.35" customHeight="1" x14ac:dyDescent="0.2">
      <c r="B128" s="19" t="s">
        <v>18</v>
      </c>
      <c r="C128" s="6">
        <v>333704.27</v>
      </c>
      <c r="D128" s="6">
        <v>509319.92</v>
      </c>
      <c r="E128" s="6">
        <v>315827.44</v>
      </c>
      <c r="F128" s="6">
        <v>279443.67</v>
      </c>
      <c r="G128" s="6">
        <v>320208.83037000004</v>
      </c>
      <c r="H128" s="6">
        <v>357032.27037000004</v>
      </c>
      <c r="I128" s="6">
        <v>568314.11037000001</v>
      </c>
      <c r="J128" s="6">
        <v>446338.84074000001</v>
      </c>
      <c r="K128" s="6">
        <v>496665.64036999998</v>
      </c>
      <c r="L128" s="6">
        <v>772839.16000000096</v>
      </c>
      <c r="M128" s="6">
        <v>647142.68073999998</v>
      </c>
      <c r="N128" s="6">
        <v>570513.43036999996</v>
      </c>
      <c r="O128" s="6">
        <v>5617350.2633300014</v>
      </c>
      <c r="P128" s="6">
        <v>468112.5219441668</v>
      </c>
      <c r="Q128" s="6" t="s">
        <v>24</v>
      </c>
    </row>
    <row r="129" spans="2:17" ht="13.35" customHeight="1" x14ac:dyDescent="0.2">
      <c r="B129" s="15" t="s">
        <v>34</v>
      </c>
      <c r="C129" s="5">
        <v>129468.83</v>
      </c>
      <c r="D129" s="5">
        <v>131435.56</v>
      </c>
      <c r="E129" s="5">
        <v>115490</v>
      </c>
      <c r="F129" s="63">
        <v>115837.37</v>
      </c>
      <c r="G129" s="63">
        <v>113000</v>
      </c>
      <c r="H129" s="5">
        <v>115880</v>
      </c>
      <c r="I129" s="5">
        <v>114170</v>
      </c>
      <c r="J129" s="5">
        <v>115215.02</v>
      </c>
      <c r="K129" s="5">
        <v>115609.52</v>
      </c>
      <c r="L129" s="5">
        <v>114516.42</v>
      </c>
      <c r="M129" s="5">
        <v>113000</v>
      </c>
      <c r="N129" s="5">
        <v>0</v>
      </c>
      <c r="O129" s="16">
        <v>1293622.72</v>
      </c>
      <c r="P129" s="17">
        <v>107801.89333333334</v>
      </c>
      <c r="Q129" s="18" t="s">
        <v>24</v>
      </c>
    </row>
    <row r="130" spans="2:17" ht="13.35" customHeight="1" x14ac:dyDescent="0.2">
      <c r="B130" s="15" t="s">
        <v>35</v>
      </c>
      <c r="C130" s="5">
        <v>204235.44</v>
      </c>
      <c r="D130" s="5">
        <v>377884.36</v>
      </c>
      <c r="E130" s="5">
        <v>200337.44</v>
      </c>
      <c r="F130" s="63">
        <v>163606.29999999999</v>
      </c>
      <c r="G130" s="63">
        <v>207208.83036999998</v>
      </c>
      <c r="H130" s="5">
        <v>241152.27036999998</v>
      </c>
      <c r="I130" s="5">
        <v>454144.11037000001</v>
      </c>
      <c r="J130" s="5">
        <v>331123.82074</v>
      </c>
      <c r="K130" s="5">
        <v>381056.12037000002</v>
      </c>
      <c r="L130" s="5">
        <v>658322.74000000092</v>
      </c>
      <c r="M130" s="5">
        <v>534142.68073999998</v>
      </c>
      <c r="N130" s="5">
        <v>570513.43036999996</v>
      </c>
      <c r="O130" s="16">
        <v>4323727.5433300007</v>
      </c>
      <c r="P130" s="17">
        <v>360310.62861083343</v>
      </c>
      <c r="Q130" s="18" t="s">
        <v>25</v>
      </c>
    </row>
    <row r="131" spans="2:17" ht="13.35" customHeight="1" x14ac:dyDescent="0.2">
      <c r="B131" s="15" t="s">
        <v>46</v>
      </c>
      <c r="C131" s="5">
        <v>0</v>
      </c>
      <c r="D131" s="5">
        <v>596535.13</v>
      </c>
      <c r="E131" s="5">
        <v>0</v>
      </c>
      <c r="F131" s="63">
        <v>303550</v>
      </c>
      <c r="G131" s="63">
        <v>594681.54</v>
      </c>
      <c r="H131" s="5">
        <v>0</v>
      </c>
      <c r="I131" s="5">
        <v>35198.239999999998</v>
      </c>
      <c r="J131" s="5">
        <v>304865.57</v>
      </c>
      <c r="K131" s="5">
        <v>302998.44</v>
      </c>
      <c r="L131" s="5">
        <v>310518.21000000002</v>
      </c>
      <c r="M131" s="5">
        <v>305342.60000000003</v>
      </c>
      <c r="N131" s="5">
        <v>305900</v>
      </c>
      <c r="O131" s="16">
        <v>3059589.7300000004</v>
      </c>
      <c r="P131" s="17">
        <v>254965.81083333338</v>
      </c>
      <c r="Q131" s="18" t="s">
        <v>25</v>
      </c>
    </row>
    <row r="132" spans="2:17" ht="13.35" customHeight="1" x14ac:dyDescent="0.2">
      <c r="B132" s="15" t="s">
        <v>19</v>
      </c>
      <c r="C132" s="5">
        <v>408166.06</v>
      </c>
      <c r="D132" s="5">
        <v>474204.57000000007</v>
      </c>
      <c r="E132" s="5">
        <v>223789.27</v>
      </c>
      <c r="F132" s="63">
        <v>271415.17000000004</v>
      </c>
      <c r="G132" s="63">
        <v>497458.17</v>
      </c>
      <c r="H132" s="5">
        <v>458936.54000000004</v>
      </c>
      <c r="I132" s="5">
        <v>422123.92</v>
      </c>
      <c r="J132" s="5">
        <v>466951.96</v>
      </c>
      <c r="K132" s="5">
        <v>420620.63</v>
      </c>
      <c r="L132" s="5">
        <v>379113.7</v>
      </c>
      <c r="M132" s="5">
        <v>373961.92</v>
      </c>
      <c r="N132" s="5">
        <v>300673.24</v>
      </c>
      <c r="O132" s="16">
        <v>4697415.1499999994</v>
      </c>
      <c r="P132" s="17">
        <v>391451.26250000001</v>
      </c>
      <c r="Q132" s="18" t="s">
        <v>24</v>
      </c>
    </row>
    <row r="133" spans="2:17" ht="13.35" customHeight="1" x14ac:dyDescent="0.2">
      <c r="B133" s="15" t="s">
        <v>45</v>
      </c>
      <c r="C133" s="5">
        <v>10000</v>
      </c>
      <c r="D133" s="5">
        <v>64636.31</v>
      </c>
      <c r="E133" s="5">
        <v>103147.57</v>
      </c>
      <c r="F133" s="63">
        <v>45450.61</v>
      </c>
      <c r="G133" s="63">
        <v>53128.000435000002</v>
      </c>
      <c r="H133" s="5">
        <v>65225.009245999994</v>
      </c>
      <c r="I133" s="5">
        <v>32211.608925</v>
      </c>
      <c r="J133" s="5">
        <v>36784.519346000001</v>
      </c>
      <c r="K133" s="5">
        <v>35767.388750000006</v>
      </c>
      <c r="L133" s="5">
        <v>61300.679426000002</v>
      </c>
      <c r="M133" s="5">
        <v>89618.148871999991</v>
      </c>
      <c r="N133" s="5">
        <v>24718.25963</v>
      </c>
      <c r="O133" s="16">
        <v>621988.10462999996</v>
      </c>
      <c r="P133" s="17">
        <v>51832.342052499996</v>
      </c>
      <c r="Q133" s="18" t="s">
        <v>24</v>
      </c>
    </row>
    <row r="134" spans="2:17" ht="13.35" customHeight="1" x14ac:dyDescent="0.2">
      <c r="B134" s="15" t="s">
        <v>51</v>
      </c>
      <c r="C134" s="5">
        <v>0</v>
      </c>
      <c r="D134" s="5">
        <v>0</v>
      </c>
      <c r="E134" s="5">
        <v>0</v>
      </c>
      <c r="F134" s="5">
        <v>94554.45</v>
      </c>
      <c r="G134" s="5">
        <v>32280</v>
      </c>
      <c r="H134" s="5">
        <v>39405</v>
      </c>
      <c r="I134" s="5">
        <v>34530</v>
      </c>
      <c r="J134" s="5">
        <v>48405</v>
      </c>
      <c r="K134" s="5">
        <v>144929.94</v>
      </c>
      <c r="L134" s="5">
        <v>54092.86</v>
      </c>
      <c r="M134" s="5">
        <v>38515</v>
      </c>
      <c r="N134" s="5">
        <v>195864.49</v>
      </c>
      <c r="O134" s="16">
        <v>682576.74</v>
      </c>
      <c r="P134" s="17">
        <v>56881.394999999997</v>
      </c>
      <c r="Q134" s="18" t="s">
        <v>25</v>
      </c>
    </row>
    <row r="135" spans="2:17" ht="13.35" customHeight="1" x14ac:dyDescent="0.2">
      <c r="B135" s="15" t="s">
        <v>52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350777.71</v>
      </c>
      <c r="O135" s="16">
        <v>350777.71</v>
      </c>
      <c r="P135" s="17">
        <v>29231.475833333334</v>
      </c>
      <c r="Q135" s="18" t="s">
        <v>25</v>
      </c>
    </row>
    <row r="136" spans="2:17" ht="13.35" customHeight="1" x14ac:dyDescent="0.2">
      <c r="B136" s="57" t="s">
        <v>44</v>
      </c>
      <c r="C136" s="58">
        <v>50000</v>
      </c>
      <c r="D136" s="58">
        <v>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400000</v>
      </c>
      <c r="N136" s="58">
        <v>500000</v>
      </c>
      <c r="O136" s="21">
        <v>950000</v>
      </c>
      <c r="P136" s="22">
        <v>79166.666666666672</v>
      </c>
      <c r="Q136" s="62" t="s">
        <v>25</v>
      </c>
    </row>
    <row r="137" spans="2:17" ht="13.35" customHeight="1" thickBot="1" x14ac:dyDescent="0.25">
      <c r="B137" s="20" t="s">
        <v>36</v>
      </c>
      <c r="C137" s="7">
        <v>0</v>
      </c>
      <c r="D137" s="7">
        <v>350</v>
      </c>
      <c r="E137" s="64">
        <v>800</v>
      </c>
      <c r="F137" s="64">
        <v>0</v>
      </c>
      <c r="G137" s="64">
        <v>850</v>
      </c>
      <c r="H137" s="7">
        <v>850</v>
      </c>
      <c r="I137" s="7">
        <v>0</v>
      </c>
      <c r="J137" s="7">
        <v>850</v>
      </c>
      <c r="K137" s="7">
        <v>0</v>
      </c>
      <c r="L137" s="7">
        <v>0</v>
      </c>
      <c r="M137" s="7">
        <v>2200</v>
      </c>
      <c r="N137" s="7">
        <v>1900</v>
      </c>
      <c r="O137" s="21">
        <v>7800</v>
      </c>
      <c r="P137" s="22">
        <v>650</v>
      </c>
      <c r="Q137" s="23" t="s">
        <v>24</v>
      </c>
    </row>
    <row r="138" spans="2:17" ht="13.35" customHeight="1" thickBot="1" x14ac:dyDescent="0.25">
      <c r="B138" s="24" t="s">
        <v>22</v>
      </c>
      <c r="C138" s="8">
        <v>3209755.2600000002</v>
      </c>
      <c r="D138" s="8">
        <v>3256937.6699999995</v>
      </c>
      <c r="E138" s="8">
        <v>2605192.48</v>
      </c>
      <c r="F138" s="8">
        <v>3293581.63</v>
      </c>
      <c r="G138" s="8">
        <v>3629988.73</v>
      </c>
      <c r="H138" s="8">
        <v>4068124.1200259998</v>
      </c>
      <c r="I138" s="8">
        <v>4640246.4200030006</v>
      </c>
      <c r="J138" s="8">
        <v>3454209.97</v>
      </c>
      <c r="K138" s="8">
        <v>4253136.8799960008</v>
      </c>
      <c r="L138" s="8">
        <v>4658140.6700220024</v>
      </c>
      <c r="M138" s="8">
        <v>6144338.9999359995</v>
      </c>
      <c r="N138" s="8">
        <v>5312105.9099210007</v>
      </c>
      <c r="O138" s="25">
        <v>48525758.739904001</v>
      </c>
      <c r="P138" s="26">
        <v>4043813.228325333</v>
      </c>
      <c r="Q138" s="27"/>
    </row>
    <row r="139" spans="2:17" ht="13.35" customHeight="1" thickBot="1" x14ac:dyDescent="0.25">
      <c r="M139" s="2"/>
    </row>
    <row r="140" spans="2:17" ht="13.35" customHeight="1" thickBot="1" x14ac:dyDescent="0.25">
      <c r="B140" s="67" t="s">
        <v>53</v>
      </c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9"/>
    </row>
    <row r="141" spans="2:17" ht="12.75" customHeight="1" thickBot="1" x14ac:dyDescent="0.25">
      <c r="B141" s="9" t="s">
        <v>21</v>
      </c>
      <c r="C141" s="10">
        <v>45658</v>
      </c>
      <c r="D141" s="3">
        <v>45689</v>
      </c>
      <c r="E141" s="3">
        <v>45717</v>
      </c>
      <c r="F141" s="3">
        <v>45748</v>
      </c>
      <c r="G141" s="3">
        <v>45778</v>
      </c>
      <c r="H141" s="3">
        <v>45809</v>
      </c>
      <c r="I141" s="3">
        <v>45839</v>
      </c>
      <c r="J141" s="3">
        <v>45870</v>
      </c>
      <c r="K141" s="3">
        <v>45901</v>
      </c>
      <c r="L141" s="3">
        <v>45931</v>
      </c>
      <c r="M141" s="3">
        <v>45962</v>
      </c>
      <c r="N141" s="3">
        <v>45992</v>
      </c>
      <c r="O141" s="11" t="s">
        <v>54</v>
      </c>
      <c r="P141" s="12" t="s">
        <v>55</v>
      </c>
      <c r="Q141" s="65" t="s">
        <v>23</v>
      </c>
    </row>
    <row r="142" spans="2:17" ht="12.75" customHeight="1" x14ac:dyDescent="0.2">
      <c r="B142" s="14" t="s">
        <v>33</v>
      </c>
      <c r="C142" s="4">
        <v>197299.25</v>
      </c>
      <c r="D142" s="4">
        <v>94466.66</v>
      </c>
      <c r="E142" s="4">
        <v>226113.14</v>
      </c>
      <c r="F142" s="4">
        <v>99544.34</v>
      </c>
      <c r="G142" s="4">
        <v>178396.28999999998</v>
      </c>
      <c r="H142" s="4">
        <v>122203.45</v>
      </c>
      <c r="I142" s="4">
        <v>144354.25</v>
      </c>
      <c r="J142" s="4">
        <v>246280.97</v>
      </c>
      <c r="K142" s="4">
        <v>15150.550000000001</v>
      </c>
      <c r="L142" s="4">
        <v>0</v>
      </c>
      <c r="M142" s="4">
        <v>10821.99</v>
      </c>
      <c r="N142" s="4">
        <v>14797.02</v>
      </c>
      <c r="O142" s="4">
        <v>1349427.9100000001</v>
      </c>
      <c r="P142" s="4">
        <v>112452.32583333334</v>
      </c>
      <c r="Q142" s="4" t="s">
        <v>25</v>
      </c>
    </row>
    <row r="143" spans="2:17" ht="13.35" customHeight="1" x14ac:dyDescent="0.2">
      <c r="B143" s="15" t="s">
        <v>0</v>
      </c>
      <c r="C143" s="5">
        <v>124149.25</v>
      </c>
      <c r="D143" s="5">
        <v>85866.66</v>
      </c>
      <c r="E143" s="5">
        <v>159663.14000000001</v>
      </c>
      <c r="F143" s="5">
        <v>72194.34</v>
      </c>
      <c r="G143" s="5">
        <v>102796.29</v>
      </c>
      <c r="H143" s="5">
        <v>113453.45</v>
      </c>
      <c r="I143" s="5">
        <v>70754.25</v>
      </c>
      <c r="J143" s="5">
        <v>246280.97</v>
      </c>
      <c r="K143" s="5">
        <v>15150.550000000001</v>
      </c>
      <c r="L143" s="5">
        <v>0</v>
      </c>
      <c r="M143" s="5">
        <v>10821.99</v>
      </c>
      <c r="N143" s="5">
        <v>14797.02</v>
      </c>
      <c r="O143" s="16">
        <v>1015927.91</v>
      </c>
      <c r="P143" s="17">
        <v>84660.659166666665</v>
      </c>
      <c r="Q143" s="18" t="s">
        <v>25</v>
      </c>
    </row>
    <row r="144" spans="2:17" ht="13.35" customHeight="1" x14ac:dyDescent="0.2">
      <c r="B144" s="15" t="s">
        <v>1</v>
      </c>
      <c r="C144" s="5">
        <v>73150</v>
      </c>
      <c r="D144" s="5">
        <v>8600</v>
      </c>
      <c r="E144" s="5">
        <v>66450</v>
      </c>
      <c r="F144" s="5">
        <v>27350</v>
      </c>
      <c r="G144" s="5">
        <v>75600</v>
      </c>
      <c r="H144" s="5">
        <v>8750</v>
      </c>
      <c r="I144" s="5">
        <v>73600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16">
        <v>333500</v>
      </c>
      <c r="P144" s="17">
        <v>27791.666666666668</v>
      </c>
      <c r="Q144" s="18" t="s">
        <v>63</v>
      </c>
    </row>
    <row r="145" spans="2:17" ht="13.35" customHeight="1" x14ac:dyDescent="0.2">
      <c r="B145" s="15" t="s">
        <v>3</v>
      </c>
      <c r="C145" s="5">
        <v>84281.33</v>
      </c>
      <c r="D145" s="5">
        <v>66656.569999999992</v>
      </c>
      <c r="E145" s="5">
        <v>68069.470054999998</v>
      </c>
      <c r="F145" s="5">
        <v>134219.96000000002</v>
      </c>
      <c r="G145" s="5">
        <v>87755.44</v>
      </c>
      <c r="H145" s="5">
        <v>94096.869967000006</v>
      </c>
      <c r="I145" s="5">
        <v>105656.649976</v>
      </c>
      <c r="J145" s="5">
        <v>104073.38</v>
      </c>
      <c r="K145" s="5">
        <v>96057.320059000005</v>
      </c>
      <c r="L145" s="5">
        <v>118773.96</v>
      </c>
      <c r="M145" s="5">
        <v>116854.51</v>
      </c>
      <c r="N145" s="5">
        <v>98056.72</v>
      </c>
      <c r="O145" s="16">
        <v>1174552.1800569999</v>
      </c>
      <c r="P145" s="17">
        <v>97879.34833808332</v>
      </c>
      <c r="Q145" s="18" t="s">
        <v>24</v>
      </c>
    </row>
    <row r="146" spans="2:17" ht="13.35" customHeight="1" x14ac:dyDescent="0.2">
      <c r="B146" s="15" t="s">
        <v>4</v>
      </c>
      <c r="C146" s="5">
        <v>650393.99087800004</v>
      </c>
      <c r="D146" s="5">
        <v>622260.31940000004</v>
      </c>
      <c r="E146" s="5">
        <v>711276.38</v>
      </c>
      <c r="F146" s="5">
        <v>683559.15086699999</v>
      </c>
      <c r="G146" s="5">
        <v>648924.49025400006</v>
      </c>
      <c r="H146" s="5">
        <v>658298.49793800001</v>
      </c>
      <c r="I146" s="5">
        <v>663809.81087600009</v>
      </c>
      <c r="J146" s="5">
        <v>801935</v>
      </c>
      <c r="K146" s="5">
        <v>736913.033865</v>
      </c>
      <c r="L146" s="5">
        <v>691634.46020500013</v>
      </c>
      <c r="M146" s="5">
        <v>712357.76892900001</v>
      </c>
      <c r="N146" s="5">
        <v>692515.91026799998</v>
      </c>
      <c r="O146" s="16">
        <v>8273878.81348</v>
      </c>
      <c r="P146" s="17">
        <v>689489.90112333326</v>
      </c>
      <c r="Q146" s="18" t="s">
        <v>24</v>
      </c>
    </row>
    <row r="147" spans="2:17" ht="13.35" customHeight="1" x14ac:dyDescent="0.2">
      <c r="B147" s="15" t="s">
        <v>6</v>
      </c>
      <c r="C147" s="5">
        <v>857465.83</v>
      </c>
      <c r="D147" s="5">
        <v>838947.99</v>
      </c>
      <c r="E147" s="5">
        <v>772335.37</v>
      </c>
      <c r="F147" s="5">
        <v>740505.75</v>
      </c>
      <c r="G147" s="5">
        <v>395834.8</v>
      </c>
      <c r="H147" s="5">
        <v>733962.68</v>
      </c>
      <c r="I147" s="5">
        <v>455746.26999999996</v>
      </c>
      <c r="J147" s="5">
        <v>589238.5400129999</v>
      </c>
      <c r="K147" s="5">
        <v>751338.16</v>
      </c>
      <c r="L147" s="5">
        <v>741706.22</v>
      </c>
      <c r="M147" s="5">
        <v>731225.34</v>
      </c>
      <c r="N147" s="5">
        <v>2429470.27</v>
      </c>
      <c r="O147" s="16">
        <v>10037777.220013</v>
      </c>
      <c r="P147" s="17">
        <v>836481.4350010833</v>
      </c>
      <c r="Q147" s="18" t="s">
        <v>25</v>
      </c>
    </row>
    <row r="148" spans="2:17" ht="13.35" customHeight="1" x14ac:dyDescent="0.2">
      <c r="B148" s="15" t="s">
        <v>7</v>
      </c>
      <c r="C148" s="5">
        <v>0</v>
      </c>
      <c r="D148" s="5">
        <v>59852</v>
      </c>
      <c r="E148" s="5">
        <v>50308</v>
      </c>
      <c r="F148" s="5">
        <v>40840</v>
      </c>
      <c r="G148" s="5">
        <v>38160</v>
      </c>
      <c r="H148" s="5">
        <v>0</v>
      </c>
      <c r="I148" s="5">
        <v>0</v>
      </c>
      <c r="J148" s="5">
        <v>40160</v>
      </c>
      <c r="K148" s="5">
        <v>32160</v>
      </c>
      <c r="L148" s="5">
        <v>46480</v>
      </c>
      <c r="M148" s="5">
        <v>34840</v>
      </c>
      <c r="N148" s="5">
        <v>34360</v>
      </c>
      <c r="O148" s="16">
        <v>377160</v>
      </c>
      <c r="P148" s="17">
        <v>31430</v>
      </c>
      <c r="Q148" s="18" t="s">
        <v>24</v>
      </c>
    </row>
    <row r="149" spans="2:17" ht="13.35" customHeight="1" x14ac:dyDescent="0.2">
      <c r="B149" s="15" t="s">
        <v>17</v>
      </c>
      <c r="C149" s="5">
        <v>440150.44</v>
      </c>
      <c r="D149" s="5">
        <v>355885.83</v>
      </c>
      <c r="E149" s="5">
        <v>233826.44999999998</v>
      </c>
      <c r="F149" s="5">
        <v>382769.82</v>
      </c>
      <c r="G149" s="5">
        <v>408037.84</v>
      </c>
      <c r="H149" s="5">
        <v>493378.55</v>
      </c>
      <c r="I149" s="5">
        <v>623225.41</v>
      </c>
      <c r="J149" s="5">
        <v>536858.83000000007</v>
      </c>
      <c r="K149" s="5">
        <v>589598.67000000004</v>
      </c>
      <c r="L149" s="5">
        <v>591609.96</v>
      </c>
      <c r="M149" s="5">
        <v>567846.96</v>
      </c>
      <c r="N149" s="5">
        <v>500279.01</v>
      </c>
      <c r="O149" s="16">
        <v>5723467.7699999996</v>
      </c>
      <c r="P149" s="17">
        <v>476955.64749999996</v>
      </c>
      <c r="Q149" s="18" t="s">
        <v>24</v>
      </c>
    </row>
    <row r="150" spans="2:17" ht="13.35" customHeight="1" x14ac:dyDescent="0.2">
      <c r="B150" s="15" t="s">
        <v>10</v>
      </c>
      <c r="C150" s="5">
        <v>21748.699999999997</v>
      </c>
      <c r="D150" s="5">
        <v>29668.94</v>
      </c>
      <c r="E150" s="5">
        <v>36955.15</v>
      </c>
      <c r="F150" s="5">
        <v>0</v>
      </c>
      <c r="G150" s="5">
        <v>23734.65</v>
      </c>
      <c r="H150" s="5">
        <v>44887.03</v>
      </c>
      <c r="I150" s="5">
        <v>28824</v>
      </c>
      <c r="J150" s="5">
        <v>32214.91</v>
      </c>
      <c r="K150" s="5">
        <v>46198.89</v>
      </c>
      <c r="L150" s="5">
        <v>33561</v>
      </c>
      <c r="M150" s="5">
        <v>47331.27</v>
      </c>
      <c r="N150" s="5">
        <v>44525</v>
      </c>
      <c r="O150" s="16">
        <v>389649.54</v>
      </c>
      <c r="P150" s="17">
        <v>32470.794999999998</v>
      </c>
      <c r="Q150" s="18" t="s">
        <v>24</v>
      </c>
    </row>
    <row r="151" spans="2:17" ht="12.75" customHeight="1" x14ac:dyDescent="0.2">
      <c r="B151" s="15" t="s">
        <v>11</v>
      </c>
      <c r="C151" s="5">
        <v>390398.93</v>
      </c>
      <c r="D151" s="5">
        <v>400894.32</v>
      </c>
      <c r="E151" s="5">
        <v>333711.19</v>
      </c>
      <c r="F151" s="5">
        <v>374531.96</v>
      </c>
      <c r="G151" s="5">
        <v>395158.88</v>
      </c>
      <c r="H151" s="5">
        <v>405670.26</v>
      </c>
      <c r="I151" s="5">
        <v>423784.94</v>
      </c>
      <c r="J151" s="5">
        <v>418706.94</v>
      </c>
      <c r="K151" s="5">
        <v>382290.25</v>
      </c>
      <c r="L151" s="5">
        <v>409312.08</v>
      </c>
      <c r="M151" s="5">
        <v>402958.32999999996</v>
      </c>
      <c r="N151" s="5">
        <v>325886.09999999998</v>
      </c>
      <c r="O151" s="16">
        <v>4663304.18</v>
      </c>
      <c r="P151" s="17">
        <v>388608.68166666664</v>
      </c>
      <c r="Q151" s="18" t="s">
        <v>24</v>
      </c>
    </row>
    <row r="152" spans="2:17" ht="13.35" customHeight="1" x14ac:dyDescent="0.2">
      <c r="B152" s="15" t="s">
        <v>13</v>
      </c>
      <c r="C152" s="5">
        <v>57788.740006</v>
      </c>
      <c r="D152" s="5">
        <v>73470.09</v>
      </c>
      <c r="E152" s="5">
        <v>115839.47</v>
      </c>
      <c r="F152" s="5">
        <v>90147.66</v>
      </c>
      <c r="G152" s="5">
        <v>87055.88</v>
      </c>
      <c r="H152" s="5">
        <v>105464.639964</v>
      </c>
      <c r="I152" s="5">
        <v>141807.54</v>
      </c>
      <c r="J152" s="5">
        <v>92764.998437000002</v>
      </c>
      <c r="K152" s="5">
        <v>152780.37283199999</v>
      </c>
      <c r="L152" s="5">
        <v>112052.71</v>
      </c>
      <c r="M152" s="5">
        <v>95244.89</v>
      </c>
      <c r="N152" s="5">
        <v>71802.100000000006</v>
      </c>
      <c r="O152" s="16">
        <v>1196219.091239</v>
      </c>
      <c r="P152" s="17">
        <v>99684.924269916679</v>
      </c>
      <c r="Q152" s="18" t="s">
        <v>24</v>
      </c>
    </row>
    <row r="153" spans="2:17" ht="13.35" customHeight="1" x14ac:dyDescent="0.2">
      <c r="B153" s="15" t="s">
        <v>50</v>
      </c>
      <c r="C153" s="5">
        <v>380862.79</v>
      </c>
      <c r="D153" s="5">
        <v>389586.75</v>
      </c>
      <c r="E153" s="5">
        <v>275226.68</v>
      </c>
      <c r="F153" s="5">
        <v>240051.72</v>
      </c>
      <c r="G153" s="5">
        <v>86206.87</v>
      </c>
      <c r="H153" s="5">
        <v>737492.99</v>
      </c>
      <c r="I153" s="5">
        <v>591485.01</v>
      </c>
      <c r="J153" s="5">
        <v>476436.96</v>
      </c>
      <c r="K153" s="5">
        <v>295847.84999999998</v>
      </c>
      <c r="L153" s="5">
        <v>485854.95999999996</v>
      </c>
      <c r="M153" s="5">
        <v>381133</v>
      </c>
      <c r="N153" s="5">
        <v>1437452.2300000002</v>
      </c>
      <c r="O153" s="16">
        <v>5777637.8100000015</v>
      </c>
      <c r="P153" s="17">
        <v>481469.8175</v>
      </c>
      <c r="Q153" s="18" t="s">
        <v>25</v>
      </c>
    </row>
    <row r="154" spans="2:17" ht="12.75" customHeight="1" x14ac:dyDescent="0.2">
      <c r="B154" s="15" t="s">
        <v>56</v>
      </c>
      <c r="C154" s="5">
        <v>0</v>
      </c>
      <c r="D154" s="5">
        <v>0</v>
      </c>
      <c r="E154" s="5">
        <v>0</v>
      </c>
      <c r="F154" s="5">
        <v>59255</v>
      </c>
      <c r="G154" s="5">
        <v>32720</v>
      </c>
      <c r="H154" s="5">
        <v>41805</v>
      </c>
      <c r="I154" s="5">
        <v>416310</v>
      </c>
      <c r="J154" s="5">
        <v>0</v>
      </c>
      <c r="K154" s="5">
        <v>92600</v>
      </c>
      <c r="L154" s="5">
        <v>46150</v>
      </c>
      <c r="M154" s="5">
        <v>0</v>
      </c>
      <c r="N154" s="5">
        <v>195935</v>
      </c>
      <c r="O154" s="16">
        <v>884775</v>
      </c>
      <c r="P154" s="17">
        <v>73731.25</v>
      </c>
      <c r="Q154" s="18" t="s">
        <v>25</v>
      </c>
    </row>
    <row r="155" spans="2:17" ht="13.35" customHeight="1" x14ac:dyDescent="0.2">
      <c r="B155" s="15" t="s">
        <v>16</v>
      </c>
      <c r="C155" s="5">
        <v>32300.46</v>
      </c>
      <c r="D155" s="5">
        <v>131.16</v>
      </c>
      <c r="E155" s="5">
        <v>13475.26</v>
      </c>
      <c r="F155" s="5">
        <v>5103.32</v>
      </c>
      <c r="G155" s="5">
        <v>9199.36</v>
      </c>
      <c r="H155" s="5">
        <v>5976.18</v>
      </c>
      <c r="I155" s="5">
        <v>7050.62</v>
      </c>
      <c r="J155" s="5">
        <v>4297.5</v>
      </c>
      <c r="K155" s="5">
        <v>16212.93</v>
      </c>
      <c r="L155" s="5">
        <v>805.8</v>
      </c>
      <c r="M155" s="5">
        <v>20144.7</v>
      </c>
      <c r="N155" s="5">
        <v>2081.64</v>
      </c>
      <c r="O155" s="16">
        <v>116778.92999999998</v>
      </c>
      <c r="P155" s="17">
        <v>9731.5774999999976</v>
      </c>
      <c r="Q155" s="18" t="s">
        <v>24</v>
      </c>
    </row>
    <row r="156" spans="2:17" ht="13.35" customHeight="1" x14ac:dyDescent="0.2">
      <c r="B156" s="15" t="s">
        <v>18</v>
      </c>
      <c r="C156" s="5">
        <v>314512.55</v>
      </c>
      <c r="D156" s="5">
        <v>230474.6</v>
      </c>
      <c r="E156" s="5">
        <v>207846.15</v>
      </c>
      <c r="F156" s="5">
        <v>258255.96</v>
      </c>
      <c r="G156" s="5">
        <v>213131.81</v>
      </c>
      <c r="H156" s="5">
        <v>100413.98</v>
      </c>
      <c r="I156" s="5">
        <v>244346.15</v>
      </c>
      <c r="J156" s="5">
        <v>370597.97</v>
      </c>
      <c r="K156" s="5">
        <v>190487.39</v>
      </c>
      <c r="L156" s="5">
        <v>194289.66</v>
      </c>
      <c r="M156" s="5">
        <v>145325.29999999999</v>
      </c>
      <c r="N156" s="5">
        <v>146500.22</v>
      </c>
      <c r="O156" s="16">
        <v>2616181.7400000002</v>
      </c>
      <c r="P156" s="17">
        <v>218015.14500000002</v>
      </c>
      <c r="Q156" s="18" t="s">
        <v>25</v>
      </c>
    </row>
    <row r="157" spans="2:17" ht="13.35" customHeight="1" x14ac:dyDescent="0.2">
      <c r="B157" s="15" t="s">
        <v>46</v>
      </c>
      <c r="C157" s="5">
        <v>383557.5</v>
      </c>
      <c r="D157" s="5">
        <v>384223.25</v>
      </c>
      <c r="E157" s="5">
        <v>385639.43</v>
      </c>
      <c r="F157" s="5">
        <v>365797.43</v>
      </c>
      <c r="G157" s="5">
        <v>388798.37</v>
      </c>
      <c r="H157" s="5">
        <v>384097.7</v>
      </c>
      <c r="I157" s="5">
        <v>392125.35</v>
      </c>
      <c r="J157" s="5">
        <v>380943.18</v>
      </c>
      <c r="K157" s="5">
        <v>308280</v>
      </c>
      <c r="L157" s="5">
        <v>39000</v>
      </c>
      <c r="M157" s="5">
        <v>575593.49</v>
      </c>
      <c r="N157" s="5">
        <v>310246.51</v>
      </c>
      <c r="O157" s="16">
        <v>4298302.21</v>
      </c>
      <c r="P157" s="17">
        <v>358191.85083333333</v>
      </c>
      <c r="Q157" s="18" t="s">
        <v>24</v>
      </c>
    </row>
    <row r="158" spans="2:17" ht="12.75" customHeight="1" x14ac:dyDescent="0.2">
      <c r="B158" s="15" t="s">
        <v>62</v>
      </c>
      <c r="C158" s="5">
        <v>294670</v>
      </c>
      <c r="D158" s="5">
        <v>263898.69</v>
      </c>
      <c r="E158" s="5">
        <v>344657.57</v>
      </c>
      <c r="F158" s="5">
        <v>278495.71000000002</v>
      </c>
      <c r="G158" s="5">
        <v>190238.91</v>
      </c>
      <c r="H158" s="5">
        <v>160750.02000000002</v>
      </c>
      <c r="I158" s="5">
        <v>84556.5</v>
      </c>
      <c r="J158" s="5">
        <v>310531.82</v>
      </c>
      <c r="K158" s="5">
        <v>140712.18</v>
      </c>
      <c r="L158" s="5">
        <v>201580.61</v>
      </c>
      <c r="M158" s="5">
        <v>127529.42</v>
      </c>
      <c r="N158" s="5">
        <v>184102.23</v>
      </c>
      <c r="O158" s="16">
        <v>2581723.66</v>
      </c>
      <c r="P158" s="17">
        <v>215143.63833333334</v>
      </c>
      <c r="Q158" s="18" t="s">
        <v>25</v>
      </c>
    </row>
    <row r="159" spans="2:17" ht="13.35" customHeight="1" x14ac:dyDescent="0.2">
      <c r="B159" s="15" t="s">
        <v>45</v>
      </c>
      <c r="C159" s="5">
        <v>119897.94912199999</v>
      </c>
      <c r="D159" s="5">
        <v>40500.000599999999</v>
      </c>
      <c r="E159" s="5">
        <v>64475.039944999997</v>
      </c>
      <c r="F159" s="5">
        <v>47970.859133000005</v>
      </c>
      <c r="G159" s="5">
        <v>111638.529746</v>
      </c>
      <c r="H159" s="5">
        <v>58469.562095000001</v>
      </c>
      <c r="I159" s="5">
        <v>36992.959148000002</v>
      </c>
      <c r="J159" s="5">
        <v>38066.9</v>
      </c>
      <c r="K159" s="5">
        <v>134800.41607599999</v>
      </c>
      <c r="L159" s="5">
        <v>46503.429795000004</v>
      </c>
      <c r="M159" s="5">
        <v>24000.001070999999</v>
      </c>
      <c r="N159" s="5">
        <v>51520.989732000002</v>
      </c>
      <c r="O159" s="16">
        <v>774836.63646300009</v>
      </c>
      <c r="P159" s="17">
        <v>64569.719705250005</v>
      </c>
      <c r="Q159" s="18" t="s">
        <v>25</v>
      </c>
    </row>
    <row r="160" spans="2:17" ht="13.35" customHeight="1" x14ac:dyDescent="0.2">
      <c r="B160" s="15" t="s">
        <v>57</v>
      </c>
      <c r="C160" s="5">
        <v>30080</v>
      </c>
      <c r="D160" s="5">
        <v>45455</v>
      </c>
      <c r="E160" s="5">
        <v>40885.089999999997</v>
      </c>
      <c r="F160" s="5">
        <v>33550</v>
      </c>
      <c r="G160" s="5">
        <v>0</v>
      </c>
      <c r="H160" s="5">
        <v>91475</v>
      </c>
      <c r="I160" s="5">
        <v>123793.72</v>
      </c>
      <c r="J160" s="5">
        <v>49030</v>
      </c>
      <c r="K160" s="5">
        <v>81000</v>
      </c>
      <c r="L160" s="5">
        <v>193493.07</v>
      </c>
      <c r="M160" s="5">
        <v>28630</v>
      </c>
      <c r="N160" s="5">
        <v>374982.64</v>
      </c>
      <c r="O160" s="16">
        <v>1092374.52</v>
      </c>
      <c r="P160" s="17">
        <v>91031.21</v>
      </c>
      <c r="Q160" s="18" t="s">
        <v>25</v>
      </c>
    </row>
    <row r="161" spans="2:17" ht="12.75" customHeight="1" x14ac:dyDescent="0.2">
      <c r="B161" s="15" t="s">
        <v>60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28275</v>
      </c>
      <c r="I161" s="5">
        <v>34755</v>
      </c>
      <c r="J161" s="5">
        <v>134225</v>
      </c>
      <c r="K161" s="5">
        <v>85915</v>
      </c>
      <c r="L161" s="5">
        <v>0</v>
      </c>
      <c r="M161" s="5">
        <v>250845</v>
      </c>
      <c r="N161" s="5">
        <v>0</v>
      </c>
      <c r="O161" s="16">
        <v>534015</v>
      </c>
      <c r="P161" s="17">
        <v>44501.25</v>
      </c>
      <c r="Q161" s="18" t="s">
        <v>24</v>
      </c>
    </row>
    <row r="162" spans="2:17" ht="13.35" customHeight="1" x14ac:dyDescent="0.2">
      <c r="B162" s="15" t="s">
        <v>58</v>
      </c>
      <c r="C162" s="5">
        <v>0</v>
      </c>
      <c r="D162" s="5">
        <v>1550</v>
      </c>
      <c r="E162" s="5">
        <v>2150</v>
      </c>
      <c r="F162" s="5">
        <v>950</v>
      </c>
      <c r="G162" s="5">
        <v>1750</v>
      </c>
      <c r="H162" s="5">
        <v>0</v>
      </c>
      <c r="I162" s="5">
        <v>3350</v>
      </c>
      <c r="J162" s="5">
        <v>1350</v>
      </c>
      <c r="K162" s="5">
        <v>1950</v>
      </c>
      <c r="L162" s="5">
        <v>0</v>
      </c>
      <c r="M162" s="5">
        <v>3650</v>
      </c>
      <c r="N162" s="5">
        <v>750</v>
      </c>
      <c r="O162" s="16">
        <v>17450</v>
      </c>
      <c r="P162" s="17">
        <v>1454.1666666666667</v>
      </c>
      <c r="Q162" s="18" t="s">
        <v>24</v>
      </c>
    </row>
    <row r="163" spans="2:17" ht="13.35" customHeight="1" x14ac:dyDescent="0.2">
      <c r="B163" s="15" t="s">
        <v>59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19390</v>
      </c>
      <c r="K163" s="5">
        <v>107064.75</v>
      </c>
      <c r="L163" s="5">
        <v>97105</v>
      </c>
      <c r="M163" s="5">
        <v>209863.3</v>
      </c>
      <c r="N163" s="5">
        <v>133713.70000000001</v>
      </c>
      <c r="O163" s="16">
        <v>567136.75</v>
      </c>
      <c r="P163" s="17">
        <v>47261.395833333336</v>
      </c>
      <c r="Q163" s="18" t="s">
        <v>24</v>
      </c>
    </row>
    <row r="164" spans="2:17" ht="13.35" customHeight="1" x14ac:dyDescent="0.2">
      <c r="B164" s="15" t="s">
        <v>61</v>
      </c>
      <c r="C164" s="5">
        <v>147245.48000000001</v>
      </c>
      <c r="D164" s="5">
        <v>188332.11</v>
      </c>
      <c r="E164" s="5">
        <v>165404.5</v>
      </c>
      <c r="F164" s="5">
        <v>104078.85999999999</v>
      </c>
      <c r="G164" s="5">
        <v>251468.76</v>
      </c>
      <c r="H164" s="5">
        <v>37798.86</v>
      </c>
      <c r="I164" s="5">
        <v>4035.2</v>
      </c>
      <c r="J164" s="5">
        <v>181497.81</v>
      </c>
      <c r="K164" s="5">
        <v>163118.85</v>
      </c>
      <c r="L164" s="5">
        <v>250417.36000000002</v>
      </c>
      <c r="M164" s="5">
        <v>195601.45</v>
      </c>
      <c r="N164" s="5">
        <v>298455.73</v>
      </c>
      <c r="O164" s="16">
        <v>1987454.97</v>
      </c>
      <c r="P164" s="17">
        <v>165621.2475</v>
      </c>
      <c r="Q164" s="18" t="s">
        <v>25</v>
      </c>
    </row>
    <row r="165" spans="2:17" ht="13.35" customHeight="1" x14ac:dyDescent="0.2">
      <c r="B165" s="57" t="s">
        <v>44</v>
      </c>
      <c r="C165" s="58">
        <v>0</v>
      </c>
      <c r="D165" s="58">
        <v>0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21">
        <v>0</v>
      </c>
      <c r="P165" s="22">
        <v>0</v>
      </c>
      <c r="Q165" s="62" t="s">
        <v>63</v>
      </c>
    </row>
    <row r="166" spans="2:17" ht="13.35" customHeight="1" thickBot="1" x14ac:dyDescent="0.25">
      <c r="B166" s="20" t="s">
        <v>36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21">
        <v>0</v>
      </c>
      <c r="P166" s="22">
        <v>0</v>
      </c>
      <c r="Q166" s="23" t="s">
        <v>26</v>
      </c>
    </row>
    <row r="167" spans="2:17" ht="13.35" customHeight="1" thickBot="1" x14ac:dyDescent="0.25">
      <c r="B167" s="24" t="s">
        <v>22</v>
      </c>
      <c r="C167" s="8">
        <v>4402653.940006</v>
      </c>
      <c r="D167" s="8">
        <v>4086254.28</v>
      </c>
      <c r="E167" s="8">
        <v>4048194.34</v>
      </c>
      <c r="F167" s="8">
        <v>3939627.5000000005</v>
      </c>
      <c r="G167" s="8">
        <v>3548210.8800000008</v>
      </c>
      <c r="H167" s="8">
        <v>4304516.2699640002</v>
      </c>
      <c r="I167" s="8">
        <v>4526009.38</v>
      </c>
      <c r="J167" s="8">
        <v>4828600.7084499998</v>
      </c>
      <c r="K167" s="8">
        <v>4420476.6128320005</v>
      </c>
      <c r="L167" s="8">
        <v>4300330.2799999993</v>
      </c>
      <c r="M167" s="8">
        <f t="shared" ref="M167" si="0">SUM(M143:M166)</f>
        <v>4681796.7200000007</v>
      </c>
      <c r="N167" s="8">
        <v>7347433.0199999996</v>
      </c>
      <c r="O167" s="25">
        <v>54434103.93125201</v>
      </c>
      <c r="P167" s="26">
        <v>4536175.3276043329</v>
      </c>
      <c r="Q167" s="27"/>
    </row>
    <row r="168" spans="2:17" ht="13.35" customHeight="1" thickBot="1" x14ac:dyDescent="0.25"/>
    <row r="169" spans="2:17" ht="13.35" customHeight="1" thickBot="1" x14ac:dyDescent="0.25">
      <c r="B169" s="67" t="s">
        <v>69</v>
      </c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9"/>
    </row>
    <row r="170" spans="2:17" ht="13.35" customHeight="1" thickBot="1" x14ac:dyDescent="0.25">
      <c r="B170" s="9" t="s">
        <v>21</v>
      </c>
      <c r="C170" s="10">
        <v>46023</v>
      </c>
      <c r="D170" s="3">
        <v>46054</v>
      </c>
      <c r="E170" s="3">
        <v>46082</v>
      </c>
      <c r="F170" s="3">
        <v>46113</v>
      </c>
      <c r="G170" s="3">
        <v>46143</v>
      </c>
      <c r="H170" s="3">
        <v>46174</v>
      </c>
      <c r="I170" s="3">
        <v>46204</v>
      </c>
      <c r="J170" s="3">
        <v>46235</v>
      </c>
      <c r="K170" s="3">
        <v>46266</v>
      </c>
      <c r="L170" s="3">
        <v>46296</v>
      </c>
      <c r="M170" s="3">
        <v>46327</v>
      </c>
      <c r="N170" s="3">
        <v>46357</v>
      </c>
      <c r="O170" s="11" t="s">
        <v>67</v>
      </c>
      <c r="P170" s="12" t="s">
        <v>68</v>
      </c>
      <c r="Q170" s="66" t="s">
        <v>23</v>
      </c>
    </row>
    <row r="171" spans="2:17" ht="13.35" customHeight="1" x14ac:dyDescent="0.2">
      <c r="B171" s="15" t="s">
        <v>3</v>
      </c>
      <c r="C171" s="5">
        <v>91769.66</v>
      </c>
      <c r="D171" s="5">
        <v>61168.24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16">
        <v>152937.9</v>
      </c>
      <c r="P171" s="17">
        <v>76468.95</v>
      </c>
      <c r="Q171" s="18" t="s">
        <v>24</v>
      </c>
    </row>
    <row r="172" spans="2:17" ht="13.35" customHeight="1" x14ac:dyDescent="0.2">
      <c r="B172" s="15" t="s">
        <v>4</v>
      </c>
      <c r="C172" s="5">
        <v>589536.1814789999</v>
      </c>
      <c r="D172" s="5">
        <v>502353.41100000002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16">
        <v>1091889.5924789999</v>
      </c>
      <c r="P172" s="17">
        <v>545944.79623949993</v>
      </c>
      <c r="Q172" s="18" t="s">
        <v>24</v>
      </c>
    </row>
    <row r="173" spans="2:17" ht="13.35" customHeight="1" x14ac:dyDescent="0.2">
      <c r="B173" s="15" t="s">
        <v>6</v>
      </c>
      <c r="C173" s="5">
        <v>11518.85</v>
      </c>
      <c r="D173" s="5">
        <v>13266.02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16">
        <v>24784.87</v>
      </c>
      <c r="P173" s="17">
        <v>12392.434999999999</v>
      </c>
      <c r="Q173" s="18" t="s">
        <v>25</v>
      </c>
    </row>
    <row r="174" spans="2:17" ht="13.35" customHeight="1" x14ac:dyDescent="0.2">
      <c r="B174" s="15" t="s">
        <v>7</v>
      </c>
      <c r="C174" s="5">
        <v>30320</v>
      </c>
      <c r="D174" s="5">
        <v>32120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16">
        <v>62440</v>
      </c>
      <c r="P174" s="17">
        <v>31220</v>
      </c>
      <c r="Q174" s="18" t="s">
        <v>25</v>
      </c>
    </row>
    <row r="175" spans="2:17" ht="13.35" customHeight="1" x14ac:dyDescent="0.2">
      <c r="B175" s="15" t="s">
        <v>64</v>
      </c>
      <c r="C175" s="5">
        <v>406148.49</v>
      </c>
      <c r="D175" s="5">
        <v>296551.63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16">
        <v>702700.12</v>
      </c>
      <c r="P175" s="17">
        <v>351350.06</v>
      </c>
      <c r="Q175" s="18" t="s">
        <v>24</v>
      </c>
    </row>
    <row r="176" spans="2:17" ht="13.35" customHeight="1" x14ac:dyDescent="0.2">
      <c r="B176" s="15" t="s">
        <v>10</v>
      </c>
      <c r="C176" s="5">
        <v>31655.32</v>
      </c>
      <c r="D176" s="5">
        <v>18788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16">
        <v>50443.32</v>
      </c>
      <c r="P176" s="17">
        <v>25221.66</v>
      </c>
      <c r="Q176" s="18" t="s">
        <v>24</v>
      </c>
    </row>
    <row r="177" spans="2:17" ht="13.35" customHeight="1" x14ac:dyDescent="0.2">
      <c r="B177" s="15" t="s">
        <v>11</v>
      </c>
      <c r="C177" s="5">
        <v>424726.61499999999</v>
      </c>
      <c r="D177" s="5">
        <v>282849.81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16">
        <v>707576.42500000005</v>
      </c>
      <c r="P177" s="17">
        <v>353788.21250000002</v>
      </c>
      <c r="Q177" s="18" t="s">
        <v>24</v>
      </c>
    </row>
    <row r="178" spans="2:17" ht="13.35" customHeight="1" x14ac:dyDescent="0.2">
      <c r="B178" s="15" t="s">
        <v>13</v>
      </c>
      <c r="C178" s="5">
        <v>91817.61</v>
      </c>
      <c r="D178" s="5">
        <v>64280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16">
        <v>156097.60999999999</v>
      </c>
      <c r="P178" s="17">
        <v>78048.804999999993</v>
      </c>
      <c r="Q178" s="18" t="s">
        <v>24</v>
      </c>
    </row>
    <row r="179" spans="2:17" ht="13.35" customHeight="1" x14ac:dyDescent="0.2">
      <c r="B179" s="15" t="s">
        <v>50</v>
      </c>
      <c r="C179" s="5">
        <v>757049.81</v>
      </c>
      <c r="D179" s="5">
        <v>293076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16">
        <v>1050125.81</v>
      </c>
      <c r="P179" s="17">
        <v>525062.90500000003</v>
      </c>
      <c r="Q179" s="18" t="s">
        <v>24</v>
      </c>
    </row>
    <row r="180" spans="2:17" ht="13.35" customHeight="1" x14ac:dyDescent="0.2">
      <c r="B180" s="15" t="s">
        <v>56</v>
      </c>
      <c r="C180" s="5">
        <v>95630</v>
      </c>
      <c r="D180" s="5">
        <v>101660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16">
        <v>197290</v>
      </c>
      <c r="P180" s="17">
        <v>98645</v>
      </c>
      <c r="Q180" s="18" t="s">
        <v>25</v>
      </c>
    </row>
    <row r="181" spans="2:17" ht="13.35" customHeight="1" x14ac:dyDescent="0.2">
      <c r="B181" s="15" t="s">
        <v>16</v>
      </c>
      <c r="C181" s="5">
        <v>12959.74</v>
      </c>
      <c r="D181" s="5">
        <v>8124.98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16">
        <v>21084.720000000001</v>
      </c>
      <c r="P181" s="17">
        <v>10542.36</v>
      </c>
      <c r="Q181" s="18" t="s">
        <v>24</v>
      </c>
    </row>
    <row r="182" spans="2:17" ht="13.35" customHeight="1" x14ac:dyDescent="0.2">
      <c r="B182" s="15" t="s">
        <v>18</v>
      </c>
      <c r="C182" s="5">
        <v>0</v>
      </c>
      <c r="D182" s="5">
        <v>226000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16">
        <v>226000</v>
      </c>
      <c r="P182" s="17">
        <v>113000</v>
      </c>
      <c r="Q182" s="18" t="s">
        <v>25</v>
      </c>
    </row>
    <row r="183" spans="2:17" ht="13.35" customHeight="1" x14ac:dyDescent="0.2">
      <c r="B183" s="15" t="s">
        <v>46</v>
      </c>
      <c r="C183" s="5">
        <v>308280</v>
      </c>
      <c r="D183" s="5">
        <v>308280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16">
        <v>616560</v>
      </c>
      <c r="P183" s="17">
        <v>308280</v>
      </c>
      <c r="Q183" s="18" t="s">
        <v>24</v>
      </c>
    </row>
    <row r="184" spans="2:17" ht="13.35" customHeight="1" x14ac:dyDescent="0.2">
      <c r="B184" s="15" t="s">
        <v>65</v>
      </c>
      <c r="C184" s="5">
        <v>22200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16">
        <v>22200</v>
      </c>
      <c r="P184" s="17">
        <v>11100</v>
      </c>
      <c r="Q184" s="18" t="s">
        <v>24</v>
      </c>
    </row>
    <row r="185" spans="2:17" ht="13.35" customHeight="1" x14ac:dyDescent="0.2">
      <c r="B185" s="15" t="s">
        <v>66</v>
      </c>
      <c r="C185" s="5">
        <v>3562.5000089999999</v>
      </c>
      <c r="D185" s="5">
        <v>4875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16">
        <v>8437.5000089999994</v>
      </c>
      <c r="P185" s="17">
        <v>4218.7500044999997</v>
      </c>
      <c r="Q185" s="18" t="s">
        <v>24</v>
      </c>
    </row>
    <row r="186" spans="2:17" ht="13.35" customHeight="1" x14ac:dyDescent="0.2">
      <c r="B186" s="15" t="s">
        <v>62</v>
      </c>
      <c r="C186" s="5">
        <v>136357.58499100001</v>
      </c>
      <c r="D186" s="5">
        <v>65297.9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16">
        <v>201655.484991</v>
      </c>
      <c r="P186" s="17">
        <v>100827.7424955</v>
      </c>
      <c r="Q186" s="18" t="s">
        <v>24</v>
      </c>
    </row>
    <row r="187" spans="2:17" ht="13.35" customHeight="1" x14ac:dyDescent="0.2">
      <c r="B187" s="15" t="s">
        <v>45</v>
      </c>
      <c r="C187" s="5">
        <v>42365.508521000003</v>
      </c>
      <c r="D187" s="5">
        <v>30222.359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16">
        <v>72587.867521000007</v>
      </c>
      <c r="P187" s="17">
        <v>36293.933760500004</v>
      </c>
      <c r="Q187" s="18" t="s">
        <v>24</v>
      </c>
    </row>
    <row r="188" spans="2:17" ht="13.35" customHeight="1" x14ac:dyDescent="0.2">
      <c r="B188" s="15" t="s">
        <v>51</v>
      </c>
      <c r="C188" s="5">
        <v>148788.35999999999</v>
      </c>
      <c r="D188" s="5">
        <v>582743.38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16">
        <v>731531.74</v>
      </c>
      <c r="P188" s="17">
        <v>365765.87</v>
      </c>
      <c r="Q188" s="18" t="s">
        <v>25</v>
      </c>
    </row>
    <row r="189" spans="2:17" ht="13.35" customHeight="1" x14ac:dyDescent="0.2">
      <c r="B189" s="15" t="s">
        <v>60</v>
      </c>
      <c r="C189" s="5">
        <v>149290</v>
      </c>
      <c r="D189" s="5">
        <v>199975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16">
        <v>349265</v>
      </c>
      <c r="P189" s="17">
        <v>174632.5</v>
      </c>
      <c r="Q189" s="18" t="s">
        <v>25</v>
      </c>
    </row>
    <row r="190" spans="2:17" ht="13.35" customHeight="1" x14ac:dyDescent="0.2">
      <c r="B190" s="15" t="s">
        <v>58</v>
      </c>
      <c r="C190" s="5">
        <v>0</v>
      </c>
      <c r="D190" s="5">
        <v>1000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16">
        <v>1000</v>
      </c>
      <c r="P190" s="17">
        <v>500</v>
      </c>
      <c r="Q190" s="18" t="s">
        <v>25</v>
      </c>
    </row>
    <row r="191" spans="2:17" ht="13.35" customHeight="1" x14ac:dyDescent="0.2">
      <c r="B191" s="15" t="s">
        <v>59</v>
      </c>
      <c r="C191" s="5">
        <v>155955.20000000001</v>
      </c>
      <c r="D191" s="5">
        <v>176627.3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16">
        <v>332582.5</v>
      </c>
      <c r="P191" s="17">
        <v>166291.25</v>
      </c>
      <c r="Q191" s="18" t="s">
        <v>25</v>
      </c>
    </row>
    <row r="192" spans="2:17" ht="13.35" customHeight="1" x14ac:dyDescent="0.2">
      <c r="B192" s="15" t="s">
        <v>61</v>
      </c>
      <c r="C192" s="5">
        <v>329126.52999999997</v>
      </c>
      <c r="D192" s="5">
        <v>391154.06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16">
        <v>720280.59</v>
      </c>
      <c r="P192" s="17">
        <v>360140.29499999998</v>
      </c>
      <c r="Q192" s="18" t="s">
        <v>25</v>
      </c>
    </row>
    <row r="193" spans="2:17" ht="13.35" customHeight="1" thickBot="1" x14ac:dyDescent="0.25">
      <c r="B193" s="20" t="s">
        <v>36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21">
        <v>0</v>
      </c>
      <c r="P193" s="22">
        <v>0</v>
      </c>
      <c r="Q193" s="23" t="s">
        <v>26</v>
      </c>
    </row>
    <row r="194" spans="2:17" ht="13.35" customHeight="1" thickBot="1" x14ac:dyDescent="0.25">
      <c r="B194" s="24" t="s">
        <v>22</v>
      </c>
      <c r="C194" s="8">
        <v>3839057.96</v>
      </c>
      <c r="D194" s="8">
        <v>3660413.09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25">
        <v>7499471.0499999998</v>
      </c>
      <c r="P194" s="26">
        <v>3749735.5249999999</v>
      </c>
      <c r="Q194" s="27"/>
    </row>
  </sheetData>
  <mergeCells count="7">
    <mergeCell ref="B169:Q169"/>
    <mergeCell ref="B140:Q140"/>
    <mergeCell ref="B2:Q2"/>
    <mergeCell ref="B27:Q27"/>
    <mergeCell ref="B56:Q56"/>
    <mergeCell ref="B83:Q83"/>
    <mergeCell ref="B111:Q11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M167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Faturamento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Lopes</dc:creator>
  <cp:lastModifiedBy>Allan Lopes</cp:lastModifiedBy>
  <dcterms:created xsi:type="dcterms:W3CDTF">2021-03-01T13:58:39Z</dcterms:created>
  <dcterms:modified xsi:type="dcterms:W3CDTF">2026-03-21T21:09:21Z</dcterms:modified>
</cp:coreProperties>
</file>